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Targets" sheetId="1" state="visible" r:id="rId3"/>
    <sheet name="IB Targets" sheetId="2" state="visible" r:id="rId4"/>
    <sheet name="Corp Dev Targets" sheetId="3" state="visible" r:id="rId5"/>
    <sheet name="VC Targets" sheetId="4" state="visible" r:id="rId6"/>
    <sheet name="VC Fund Database" sheetId="5" state="visible" r:id="rId7"/>
    <sheet name="People Directory" sheetId="6" state="visible" r:id="rId8"/>
    <sheet name="Target Profiles" sheetId="7" state="visible" r:id="rId9"/>
    <sheet name="Personal Angles" sheetId="8" state="visible" r:id="rId10"/>
    <sheet name="League Table" sheetId="9" state="visible" r:id="rId11"/>
    <sheet name="Deal Evidence" sheetId="10" state="visible" r:id="rId12"/>
    <sheet name="Engagement Feed" sheetId="11" state="visible" r:id="rId13"/>
    <sheet name="Timeline" sheetId="12" state="visible" r:id="rId14"/>
  </sheets>
  <definedNames>
    <definedName function="false" hidden="true" localSheetId="2" name="_xlnm._FilterDatabase" vbProcedure="false">'Corp Dev Targets'!$A$5:$M$14</definedName>
    <definedName function="false" hidden="true" localSheetId="9" name="_xlnm._FilterDatabase" vbProcedure="false">'Deal Evidence'!$A$3:$H$49</definedName>
    <definedName function="false" hidden="true" localSheetId="1" name="_xlnm._FilterDatabase" vbProcedure="false">'IB Targets'!$A$5:$M$29</definedName>
    <definedName function="false" hidden="true" localSheetId="6" name="_xlnm._FilterDatabase" vbProcedure="false">'Target Profiles'!$A$3:$H$34</definedName>
    <definedName function="false" hidden="true" localSheetId="4" name="_xlnm._FilterDatabase" vbProcedure="false">'VC Fund Database'!$A$4:$O$46</definedName>
    <definedName function="false" hidden="true" localSheetId="3" name="_xlnm._FilterDatabase" vbProcedure="false">'VC Targets'!$A$5:$M$20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<sst xmlns="http://schemas.openxmlformats.org/spreadsheetml/2006/main" count="2626" uniqueCount="1560">
  <si>
    <t xml:space="preserve">Master Target Database</t>
  </si>
  <si>
    <t xml:space="preserve">All 47 targets across the IB, Corp Dev, and VC lanes in one view  |  CBS Class of 2028  |  Compiled Aug 22, 2026</t>
  </si>
  <si>
    <t xml:space="preserve">Priority / Status / Next Step mirror the lane tabs live: edit them THERE (yellow columns), not here. Sort or filter this sheet freely; formulas follow.</t>
  </si>
  <si>
    <t xml:space="preserve">Targets:</t>
  </si>
  <si>
    <t xml:space="preserve">High priority:</t>
  </si>
  <si>
    <t xml:space="preserve">In motion:</t>
  </si>
  <si>
    <t xml:space="preserve">Target</t>
  </si>
  <si>
    <t xml:space="preserve">Lane</t>
  </si>
  <si>
    <t xml:space="preserve">Tier / Category</t>
  </si>
  <si>
    <t xml:space="preserve">HQ</t>
  </si>
  <si>
    <t xml:space="preserve">Edge in One Line</t>
  </si>
  <si>
    <t xml:space="preserve">Access Channel</t>
  </si>
  <si>
    <t xml:space="preserve">Timing</t>
  </si>
  <si>
    <t xml:space="preserve">Personal Angle</t>
  </si>
  <si>
    <t xml:space="preserve">Priority</t>
  </si>
  <si>
    <t xml:space="preserve">Status</t>
  </si>
  <si>
    <t xml:space="preserve">Next Step</t>
  </si>
  <si>
    <t xml:space="preserve">Next Step Date</t>
  </si>
  <si>
    <t xml:space="preserve">PJT Partners</t>
  </si>
  <si>
    <t xml:space="preserve">IB</t>
  </si>
  <si>
    <t xml:space="preserve">1 - OCR</t>
  </si>
  <si>
    <t xml:space="preserve">New York</t>
  </si>
  <si>
    <t xml:space="preserve">Payward's house bank (NinjaTrader, Bitnomial, Reap) plus Core Scientific debtor mandate and $9B co-sell to CoreWeave</t>
  </si>
  <si>
    <t xml:space="preserve">OCR presentations and closed lists; RSSG restructuring is a separate MBA-heavy track</t>
  </si>
  <si>
    <t xml:space="preserve">Sept-Jan OCR</t>
  </si>
  <si>
    <t xml:space="preserve">You are living the process they sell; pitch market-structure conviction, not one client</t>
  </si>
  <si>
    <t xml:space="preserve">Evercore</t>
  </si>
  <si>
    <t xml:space="preserve">Co-lead FA to Siris on the $4.2B Equiniti sale; largest EB associate class, best raw odds</t>
  </si>
  <si>
    <t xml:space="preserve">OCR; consistent CBS hirer</t>
  </si>
  <si>
    <t xml:space="preserve">Brand plus optionality play; Gol/Smiles is the anchor story</t>
  </si>
  <si>
    <t xml:space="preserve">Moelis</t>
  </si>
  <si>
    <t xml:space="preserve">Restructuring franchise leader (Voyager, Genesis, BlockFi debtors); Bitfarms buy-side; Core Scientific co-sell</t>
  </si>
  <si>
    <t xml:space="preserve">Standard OCR process</t>
  </si>
  <si>
    <t xml:space="preserve">Rx depth is the counter-cyclical hedge if crypto M&amp;A slows</t>
  </si>
  <si>
    <t xml:space="preserve">Centerview</t>
  </si>
  <si>
    <t xml:space="preserve">Celsius Ch. 11 debtor banker (~$20M fee allocation); smallest class, most selective</t>
  </si>
  <si>
    <t xml:space="preserve">OCR</t>
  </si>
  <si>
    <t xml:space="preserve">-</t>
  </si>
  <si>
    <t xml:space="preserve">Perella Weinberg</t>
  </si>
  <si>
    <t xml:space="preserve">FTX debtors and Celsius creditors: the two biggest crypto estates</t>
  </si>
  <si>
    <t xml:space="preserve">Ask how the market-structure franchise carries forward post-FTX</t>
  </si>
  <si>
    <t xml:space="preserve">Lazard</t>
  </si>
  <si>
    <t xml:space="preserve">Co-FA to FTAI on the $1.5B Long Ridge sale to MARA</t>
  </si>
  <si>
    <t xml:space="preserve">Houlihan Lokey</t>
  </si>
  <si>
    <t xml:space="preserve">NYC + LA</t>
  </si>
  <si>
    <t xml:space="preserve">Genesis creditors; creditor-side franchise across the 2022-24 crypto bankruptcies</t>
  </si>
  <si>
    <t xml:space="preserve">OCR; corporate finance and restructuring tracks</t>
  </si>
  <si>
    <t xml:space="preserve">Guggenheim</t>
  </si>
  <si>
    <t xml:space="preserve">Fintech coverage; no disclosed crypto M&amp;A credits 2024-26</t>
  </si>
  <si>
    <t xml:space="preserve">Weakest Tier 1 evidence; only if networking comes cheap</t>
  </si>
  <si>
    <t xml:space="preserve">Jefferies</t>
  </si>
  <si>
    <t xml:space="preserve">Three sell-sides in 15 months (NinjaTrader, Kiavi, Long Ridge) plus FTX creditors; best evidence-to-odds ratio</t>
  </si>
  <si>
    <t xml:space="preserve">OCR; larger associate class than the EBs</t>
  </si>
  <si>
    <t xml:space="preserve">Their sell-side seats mirror your COR PRIME work from the client side</t>
  </si>
  <si>
    <t xml:space="preserve">Cantor Fitzgerald</t>
  </si>
  <si>
    <t xml:space="preserve">2 - Direct</t>
  </si>
  <si>
    <t xml:space="preserve">DAT and de-SPAC co-leader (Twenty One, Securitize) plus Strive buy-side on the $1.4B Semler merger</t>
  </si>
  <si>
    <t xml:space="preserve">NYC postings plus direct outreach to the digital assets group</t>
  </si>
  <si>
    <t xml:space="preserve">Rolling</t>
  </si>
  <si>
    <t xml:space="preserve">Name the Semler mandate in the first note</t>
  </si>
  <si>
    <t xml:space="preserve">FT Partners</t>
  </si>
  <si>
    <t xml:space="preserve">San Francisco (NYC + London)</t>
  </si>
  <si>
    <t xml:space="preserve">#1 crypto sell-side franchise: Deribit, Hidden Road, WonderFi, Equiniti co-lead</t>
  </si>
  <si>
    <t xml:space="preserve">Direct via Greenhouse plus outreach to the crypto vertical (founder-led: Steve McLaughlin)</t>
  </si>
  <si>
    <t xml:space="preserve">Rolling, post-IBC book</t>
  </si>
  <si>
    <t xml:space="preserve">You have built the models their decks run on; diligence the culture with former juniors first</t>
  </si>
  <si>
    <t xml:space="preserve">KBW (Stifel)</t>
  </si>
  <si>
    <t xml:space="preserve">Stifel advised Riot on Block Mining; KBW crypto skews research and capital markets</t>
  </si>
  <si>
    <t xml:space="preserve">Network via FIG alumni</t>
  </si>
  <si>
    <t xml:space="preserve">Bank-crypto convergence (charters, stablecoin issuers) could re-rate this seat fast</t>
  </si>
  <si>
    <t xml:space="preserve">LionTree</t>
  </si>
  <si>
    <t xml:space="preserve">Exclusive sell-side to Semler on the Strive merger; Equiniti syndicate seat</t>
  </si>
  <si>
    <t xml:space="preserve">Network; NYC media and TMT events</t>
  </si>
  <si>
    <t xml:space="preserve">Galaxy (IB arm)</t>
  </si>
  <si>
    <t xml:space="preserve">3 - Network</t>
  </si>
  <si>
    <t xml:space="preserve">Bitstamp and Aplo exclusive sell-sides; largest crypto-native advisory platform</t>
  </si>
  <si>
    <t xml:space="preserve">CBS alumni plus direct outreach; one relationship opens IB and Ventures</t>
  </si>
  <si>
    <t xml:space="preserve">Post-close, spring 2027</t>
  </si>
  <si>
    <t xml:space="preserve">Your single best asymmetric bet: crypto-native brand, live flow, lateral-shaped profile</t>
  </si>
  <si>
    <t xml:space="preserve">Architect Partners</t>
  </si>
  <si>
    <t xml:space="preserve">Palo Alto</t>
  </si>
  <si>
    <t xml:space="preserve">Coinme, Caleb &amp; Brown, Magic Labs mandates; market-map alerts cover the whole space</t>
  </si>
  <si>
    <t xml:space="preserve">Engage the research; relationship built over time, not an application</t>
  </si>
  <si>
    <t xml:space="preserve">2029+ landing spot</t>
  </si>
  <si>
    <t xml:space="preserve">Their M&amp;A alerts are your ongoing market map; they ran Magic Labs into the Kraken web</t>
  </si>
  <si>
    <t xml:space="preserve">Areta</t>
  </si>
  <si>
    <t xml:space="preserve">Berlin (Singapore, Dubai)</t>
  </si>
  <si>
    <t xml:space="preserve">Self-reported 15+ mandates in 2025, $1B+ advised; Europe-weighted, smaller tickets</t>
  </si>
  <si>
    <t xml:space="preserve">Network</t>
  </si>
  <si>
    <t xml:space="preserve">Opportunistic</t>
  </si>
  <si>
    <t xml:space="preserve">Your London and Europe years fit their footprint</t>
  </si>
  <si>
    <t xml:space="preserve">Broadhaven</t>
  </si>
  <si>
    <t xml:space="preserve">BitMEX sale mandate; ErisX-to-Cboe pedigree; Broadhaven Ventures under the same roof</t>
  </si>
  <si>
    <t xml:space="preserve">One relationship serves advisory and venture tracks</t>
  </si>
  <si>
    <t xml:space="preserve">The quiet dual-track shop; fewer applicants think of it</t>
  </si>
  <si>
    <t xml:space="preserve">Cohen &amp; Co Capital Markets</t>
  </si>
  <si>
    <t xml:space="preserve">DAT and de-SPAC co-leader: ProCap and Nakamoto lead FA; Stronghold sell-side</t>
  </si>
  <si>
    <t xml:space="preserve">Watch postings plus outreach</t>
  </si>
  <si>
    <t xml:space="preserve">DAT-lane concentration carries derating risk</t>
  </si>
  <si>
    <t xml:space="preserve">Canaccord Genuity</t>
  </si>
  <si>
    <t xml:space="preserve">Toronto (NYC group)</t>
  </si>
  <si>
    <t xml:space="preserve">Digital assets group; flow skews capital markets over M&amp;A</t>
  </si>
  <si>
    <t xml:space="preserve">Watch postings</t>
  </si>
  <si>
    <t xml:space="preserve">BTIG</t>
  </si>
  <si>
    <t xml:space="preserve">Research-led digital assets banking; no disclosed M&amp;A credits 2024-26</t>
  </si>
  <si>
    <t xml:space="preserve">Compass Point</t>
  </si>
  <si>
    <t xml:space="preserve">Washington, DC</t>
  </si>
  <si>
    <t xml:space="preserve">Co-FA to MARA (with Barclays) on the $1.5B Long Ridge buy</t>
  </si>
  <si>
    <t xml:space="preserve">CRB Securities</t>
  </si>
  <si>
    <t xml:space="preserve">Fort Lee, NJ</t>
  </si>
  <si>
    <t xml:space="preserve">Cross River's banking arm; ran the Reap sell-side with Goldman Sachs (Asia)</t>
  </si>
  <si>
    <t xml:space="preserve">Speculative approach; small enough that one conversation matters</t>
  </si>
  <si>
    <t xml:space="preserve">If a franchise is being built, early joiners get outsized roles</t>
  </si>
  <si>
    <t xml:space="preserve">Aream &amp; Co</t>
  </si>
  <si>
    <t xml:space="preserve">London</t>
  </si>
  <si>
    <t xml:space="preserve">London digital asset boutique; no disclosed 2024-26 mandates surfaced</t>
  </si>
  <si>
    <t xml:space="preserve">Direct London-network play</t>
  </si>
  <si>
    <t xml:space="preserve">Kraken / Payward</t>
  </si>
  <si>
    <t xml:space="preserve">Corp Dev</t>
  </si>
  <si>
    <t xml:space="preserve">Exchange</t>
  </si>
  <si>
    <t xml:space="preserve">SF / remote-first</t>
  </si>
  <si>
    <t xml:space="preserve">Most acquisitive buyer in the dataset: 8+ deals in 18 months</t>
  </si>
  <si>
    <t xml:space="preserve">Ecosystem network; watch strategy and corp dev postings around the listing</t>
  </si>
  <si>
    <t xml:space="preserve">IPO window</t>
  </si>
  <si>
    <t xml:space="preserve">Your CoS and interim-CFO-style work is the job description</t>
  </si>
  <si>
    <t xml:space="preserve">Coinbase</t>
  </si>
  <si>
    <t xml:space="preserve">Remote-first</t>
  </si>
  <si>
    <t xml:space="preserve">Deribit ($2.9B) plus banker-less bolt-ons; corp dev and ventures are one org</t>
  </si>
  <si>
    <t xml:space="preserve">Fall MBA internship applications plus alumni</t>
  </si>
  <si>
    <t xml:space="preserve">Fall cycle</t>
  </si>
  <si>
    <t xml:space="preserve">Study the Coinbase Ventures portfolio before interviews</t>
  </si>
  <si>
    <t xml:space="preserve">Stripe</t>
  </si>
  <si>
    <t xml:space="preserve">Payments</t>
  </si>
  <si>
    <t xml:space="preserve">SF / Dublin</t>
  </si>
  <si>
    <t xml:space="preserve">Bridge ($1.1B) and Privy with no bankers disclosed; stablecoin thesis</t>
  </si>
  <si>
    <t xml:space="preserve">Warm intros only; no MBA machine</t>
  </si>
  <si>
    <t xml:space="preserve">Two-year project</t>
  </si>
  <si>
    <t xml:space="preserve">Payments and tokenization story; treat as a relationship build</t>
  </si>
  <si>
    <t xml:space="preserve">Ripple</t>
  </si>
  <si>
    <t xml:space="preserve">Infra / Payments</t>
  </si>
  <si>
    <t xml:space="preserve">SF (NYC office)</t>
  </si>
  <si>
    <t xml:space="preserve">Hidden Road ($1.25B), GTreasury ($1B), Rail, BC Payments; a deal a quarter</t>
  </si>
  <si>
    <t xml:space="preserve">Postings plus network; integration experience is the wedge</t>
  </si>
  <si>
    <t xml:space="preserve">Your Optimus integration work maps directly; prime-brokerage fluency from COR PRIME</t>
  </si>
  <si>
    <t xml:space="preserve">Mastercard</t>
  </si>
  <si>
    <t xml:space="preserve">TradFi</t>
  </si>
  <si>
    <t xml:space="preserve">Purchase, NY</t>
  </si>
  <si>
    <t xml:space="preserve">BVNK up to $1.8B, its biggest crypto deal; Start Path accelerator</t>
  </si>
  <si>
    <t xml:space="preserve">Structured MBA recruiting; corp dev and strategy tracks</t>
  </si>
  <si>
    <t xml:space="preserve">Most CBS-accessible corp dev door</t>
  </si>
  <si>
    <t xml:space="preserve">Robinhood</t>
  </si>
  <si>
    <t xml:space="preserve">Broker</t>
  </si>
  <si>
    <t xml:space="preserve">Menlo Park</t>
  </si>
  <si>
    <t xml:space="preserve">Bitstamp, WonderFi, TradePMR; outside banks plus inside corp dev</t>
  </si>
  <si>
    <t xml:space="preserve">Postings plus network</t>
  </si>
  <si>
    <t xml:space="preserve">Circle</t>
  </si>
  <si>
    <t xml:space="preserve">Stablecoin</t>
  </si>
  <si>
    <t xml:space="preserve">New York (One WTC)</t>
  </si>
  <si>
    <t xml:space="preserve">Hashnote and infrastructure bolt-ons; public-company stablecoin consolidation mandate</t>
  </si>
  <si>
    <t xml:space="preserve">Postings plus NYC network</t>
  </si>
  <si>
    <t xml:space="preserve">Stablecoin thesis plus your regulated-product operating history</t>
  </si>
  <si>
    <t xml:space="preserve">Figure</t>
  </si>
  <si>
    <t xml:space="preserve">Tokenization</t>
  </si>
  <si>
    <t xml:space="preserve">San Francisco</t>
  </si>
  <si>
    <t xml:space="preserve">Kiavi ($717M) with Sixth Street; tokenization consolidator</t>
  </si>
  <si>
    <t xml:space="preserve">Network via the Kiavi advisor web</t>
  </si>
  <si>
    <t xml:space="preserve">Deal-driven</t>
  </si>
  <si>
    <t xml:space="preserve">Your ETC Group equity-tokenization platform work is directly relevant</t>
  </si>
  <si>
    <t xml:space="preserve">Talos</t>
  </si>
  <si>
    <t xml:space="preserve">Infra (FROZEN)</t>
  </si>
  <si>
    <t xml:space="preserve">Cloudwall, Skolem, D3X, Coin Metrics; principal-to-principal, no bankers ever disclosed</t>
  </si>
  <si>
    <t xml:space="preserve">POST-CLOSE ONLY: no contact while Project Optimus is live</t>
  </si>
  <si>
    <t xml:space="preserve">After Optimus close</t>
  </si>
  <si>
    <t xml:space="preserve">The warmest door available afterward; total discipline until signing</t>
  </si>
  <si>
    <t xml:space="preserve">Galaxy Ventures</t>
  </si>
  <si>
    <t xml:space="preserve">VC</t>
  </si>
  <si>
    <t xml:space="preserve">One-roof</t>
  </si>
  <si>
    <t xml:space="preserve">Fund I $175M+ (Jun 2025); stablecoins, payments, tokenization thesis</t>
  </si>
  <si>
    <t xml:space="preserve">Same relationship as Galaxy IB; CVF-compatible</t>
  </si>
  <si>
    <t xml:space="preserve">CVF Sept; rolling</t>
  </si>
  <si>
    <t xml:space="preserve">Your exit comps are their underwriting; one Galaxy relationship, three doors</t>
  </si>
  <si>
    <t xml:space="preserve">Fintech Collective</t>
  </si>
  <si>
    <t xml:space="preserve">Fintech VC</t>
  </si>
  <si>
    <t xml:space="preserve">Best pure stablecoins/payments thesis fit in NYC; capital markets DNA</t>
  </si>
  <si>
    <t xml:space="preserve">Newsletter, Layer One podcast, Stablecon</t>
  </si>
  <si>
    <t xml:space="preserve">Their capital-markets DNA matches your prime-lending seat</t>
  </si>
  <si>
    <t xml:space="preserve">Archetype</t>
  </si>
  <si>
    <t xml:space="preserve">Independent</t>
  </si>
  <si>
    <t xml:space="preserve">Fund III $100M+ (Sep 2025); stablecoins, payments infra, crypto x AI</t>
  </si>
  <si>
    <t xml:space="preserve">Archebyte podcast, NYC in-person events</t>
  </si>
  <si>
    <t xml:space="preserve">Variant</t>
  </si>
  <si>
    <t xml:space="preserve">Brooklyn</t>
  </si>
  <si>
    <t xml:space="preserve">Variant 4 $222M (Jun 2026); crypto x AI autonomy thesis</t>
  </si>
  <si>
    <t xml:space="preserve">Thesis essays; writing-first outreach works here</t>
  </si>
  <si>
    <t xml:space="preserve">Write your way in; they reward essays</t>
  </si>
  <si>
    <t xml:space="preserve">CoinFund</t>
  </si>
  <si>
    <t xml:space="preserve">$550M+ across recent vehicles; venture plus liquid; market-structure focus</t>
  </si>
  <si>
    <t xml:space="preserve">NYC events plus CVF; research and podcast engagement</t>
  </si>
  <si>
    <t xml:space="preserve">CVF Sept</t>
  </si>
  <si>
    <t xml:space="preserve">One of the few crypto funds a CBS student can see weekly</t>
  </si>
  <si>
    <t xml:space="preserve">Portal Ventures</t>
  </si>
  <si>
    <t xml:space="preserve">Fund II $75M (late 2024); pre-seed lead checks; fundamentals-driven</t>
  </si>
  <si>
    <t xml:space="preserve">Fisher's writing and podcasts; MBA-friendly framing</t>
  </si>
  <si>
    <t xml:space="preserve">The most MBA-legible framing in the set; hires early-career</t>
  </si>
  <si>
    <t xml:space="preserve">VanEck Ventures</t>
  </si>
  <si>
    <t xml:space="preserve">Corporate fund</t>
  </si>
  <si>
    <t xml:space="preserve">$30M debut fund; ex-Circle Ventures team; stablecoin/tokenization thesis</t>
  </si>
  <si>
    <t xml:space="preserve">Media-active partners; direct outreach viable</t>
  </si>
  <si>
    <t xml:space="preserve">An ETP operator's story lands at an ETP house: your ETC Group years are the intro</t>
  </si>
  <si>
    <t xml:space="preserve">6th Man Ventures</t>
  </si>
  <si>
    <t xml:space="preserve">Fund II $145M; consumer and Solana-weighted</t>
  </si>
  <si>
    <t xml:space="preserve">Dudas is highly public; NYC events</t>
  </si>
  <si>
    <t xml:space="preserve">North Island Ventures</t>
  </si>
  <si>
    <t xml:space="preserve">~$300M AUM; stablecoin payments and interoperability thesis</t>
  </si>
  <si>
    <t xml:space="preserve">Scher podcasts; watch for associate openings</t>
  </si>
  <si>
    <t xml:space="preserve">A live seat to watch, not just a coffee: they have hired associates</t>
  </si>
  <si>
    <t xml:space="preserve">Dragonfly (NYC)</t>
  </si>
  <si>
    <t xml:space="preserve">Bicoastal</t>
  </si>
  <si>
    <t xml:space="preserve">NYC + Singapore</t>
  </si>
  <si>
    <t xml:space="preserve">Fund IV $650M (Feb 2026); RWA and stablecoin pivot; ~$4B AUM</t>
  </si>
  <si>
    <t xml:space="preserve">Chopping Block podcast, research</t>
  </si>
  <si>
    <t xml:space="preserve">Note the DOJ / Tornado Cash caveat on one GP before any outreach there</t>
  </si>
  <si>
    <t xml:space="preserve">Union Square Ventures</t>
  </si>
  <si>
    <t xml:space="preserve">Thesis-driven; early Coinbase backer; still leading crypto rounds in 2025</t>
  </si>
  <si>
    <t xml:space="preserve">CVF plus thoughtful written outreach; they reward writing</t>
  </si>
  <si>
    <t xml:space="preserve">Castle Island Ventures</t>
  </si>
  <si>
    <t xml:space="preserve">Boston</t>
  </si>
  <si>
    <t xml:space="preserve">Backed both Talos and Coin Metrics; infrastructure-focused early stage</t>
  </si>
  <si>
    <t xml:space="preserve">Engage On The Brink first; post-close Talos angle</t>
  </si>
  <si>
    <t xml:space="preserve">Post-close</t>
  </si>
  <si>
    <t xml:space="preserve">The fund behind your counterparty; likely your strongest single VC relationship</t>
  </si>
  <si>
    <t xml:space="preserve">Coinbase Ventures</t>
  </si>
  <si>
    <t xml:space="preserve">CVC</t>
  </si>
  <si>
    <t xml:space="preserve">SF / remote</t>
  </si>
  <si>
    <t xml:space="preserve">Most active CVC in crypto; sits inside the corp dev org</t>
  </si>
  <si>
    <t xml:space="preserve">Through Coinbase MBA channels</t>
  </si>
  <si>
    <t xml:space="preserve">Fall</t>
  </si>
  <si>
    <t xml:space="preserve">Double-counts with the Coinbase corp dev track</t>
  </si>
  <si>
    <t xml:space="preserve">Kraken Ventures</t>
  </si>
  <si>
    <t xml:space="preserve">Standalone fund beside the most acquisitive corp dev team in crypto</t>
  </si>
  <si>
    <t xml:space="preserve">Ecosystem network</t>
  </si>
  <si>
    <t xml:space="preserve">Double-counts with the Kraken corp dev track</t>
  </si>
  <si>
    <t xml:space="preserve">Pantera Capital</t>
  </si>
  <si>
    <t xml:space="preserve">Oldest dedicated crypto fund; venture plus liquid</t>
  </si>
  <si>
    <t xml:space="preserve">Network; CVF thesis material travels well here</t>
  </si>
  <si>
    <t xml:space="preserve">Static columns compiled Aug 22, 2026 from the lane tabs, Target Profiles, and the NYC fund research. HQ entries for Canaccord Genuity, BTIG, Compass Point, Robinhood, and Figure come from general knowledge, not the research; confirm before citing. Priority / Status / Next Step are live formulas into the lane tabs; keep working there.</t>
  </si>
  <si>
    <t xml:space="preserve">IB / M&amp;A Advisory Targets</t>
  </si>
  <si>
    <t xml:space="preserve">CBS Class of 2028  |  Summer 2027 associate cycle  |  Tiers: 1 OCR, 2 Direct, 3 Network  |  Depth on Target Profiles</t>
  </si>
  <si>
    <t xml:space="preserve">Fill in the yellow columns (F to M). Row 6 is an example row; overwrite or delete it.</t>
  </si>
  <si>
    <t xml:space="preserve">Firm</t>
  </si>
  <si>
    <t xml:space="preserve">Tier</t>
  </si>
  <si>
    <t xml:space="preserve">Crypto / Deal Evidence</t>
  </si>
  <si>
    <t xml:space="preserve">Hiring Model</t>
  </si>
  <si>
    <t xml:space="preserve">Contact(s)</t>
  </si>
  <si>
    <t xml:space="preserve">Contact Source</t>
  </si>
  <si>
    <t xml:space="preserve">Last Contact</t>
  </si>
  <si>
    <t xml:space="preserve">Notes</t>
  </si>
  <si>
    <t xml:space="preserve">(Example) Firm Name</t>
  </si>
  <si>
    <t xml:space="preserve">Example row: overwrite or delete</t>
  </si>
  <si>
    <t xml:space="preserve">Structured</t>
  </si>
  <si>
    <t xml:space="preserve">High</t>
  </si>
  <si>
    <t xml:space="preserve">Outreach sent</t>
  </si>
  <si>
    <t xml:space="preserve">Jane Doe, VP FIG</t>
  </si>
  <si>
    <t xml:space="preserve">CBS alum ('24)</t>
  </si>
  <si>
    <t xml:space="preserve">Coffee chat at EIS</t>
  </si>
  <si>
    <t xml:space="preserve">Met at fintech club event</t>
  </si>
  <si>
    <t xml:space="preserve">Payward's house bank (NinjaTrader buy, Bitnomial sell, Reap buy); Core Scientific debtor banker and co-sell to CoreWeave ($9B)</t>
  </si>
  <si>
    <t xml:space="preserve">Structured summer associate program</t>
  </si>
  <si>
    <t xml:space="preserve">OCR presentations and closed lists; RSSG restructuring track is MBA-heavy</t>
  </si>
  <si>
    <t xml:space="preserve">Co-lead FA to Siris on the $4.2B Equiniti sale; broad fintech franchise</t>
  </si>
  <si>
    <t xml:space="preserve">Core OCR name; consistent CBS hirer</t>
  </si>
  <si>
    <t xml:space="preserve">Celsius Chapter 11 debtor banker (largest banker fee allocation, ~$20M); top-end fintech</t>
  </si>
  <si>
    <t xml:space="preserve">OCR; smallest class, most selective of the group</t>
  </si>
  <si>
    <t xml:space="preserve">FTX debtors banker; Celsius creditors banker; two of the biggest crypto estates</t>
  </si>
  <si>
    <t xml:space="preserve">Genesis creditors banker; creditor-side franchise across the crypto bankruptcies</t>
  </si>
  <si>
    <t xml:space="preserve">Fintech coverage; no disclosed crypto M&amp;A credits surfaced 2024-26</t>
  </si>
  <si>
    <t xml:space="preserve">Three sell-sides in 15 months (NinjaTrader, Kiavi, FTAI/Long Ridge) plus FTX creditors committee; steadiest non-BB in the space</t>
  </si>
  <si>
    <t xml:space="preserve">DAT and de-SPAC co-leader (Twenty One, Securitize) plus buy-side FA to Strive on the $1.4B Semler merger; bitcoin financing</t>
  </si>
  <si>
    <t xml:space="preserve">Posts roles; less structured MBA path</t>
  </si>
  <si>
    <t xml:space="preserve">#1 crypto sell-side franchise: Deribit, Hidden Road, WonderFi, and Equiniti co-lead; four marquee exits</t>
  </si>
  <si>
    <t xml:space="preserve">Direct hiring via Greenhouse; apprenticeship model</t>
  </si>
  <si>
    <t xml:space="preserve">Direct application plus targeted outreach; no major OCR presence</t>
  </si>
  <si>
    <t xml:space="preserve">Stifel advised Riot on the Block Mining buy; KBW crypto work skews research and capital markets, not M&amp;A</t>
  </si>
  <si>
    <t xml:space="preserve">Mostly lateral; selective postings</t>
  </si>
  <si>
    <t xml:space="preserve">Sell-side FA to Semler Scientific on the Strive merger; Equiniti syndicate seat for Siris</t>
  </si>
  <si>
    <t xml:space="preserve">Very selective, relationship-driven</t>
  </si>
  <si>
    <t xml:space="preserve">Network play; NYC events</t>
  </si>
  <si>
    <t xml:space="preserve">Two confirmed sell-sides: Bitstamp to Robinhood, Aplo to Coincheck; largest crypto-native advisory</t>
  </si>
  <si>
    <t xml:space="preserve">Lateral hires; occasional postings</t>
  </si>
  <si>
    <t xml:space="preserve">CBS alumni search plus direct outreach; dual door with Galaxy Ventures</t>
  </si>
  <si>
    <t xml:space="preserve">Three-plus mandates: Coinme, Caleb &amp; Brown, Magic Labs; the mid-market franchise plus market-map alerts</t>
  </si>
  <si>
    <t xml:space="preserve">Senior-only team; no program</t>
  </si>
  <si>
    <t xml:space="preserve">Relationship build over time, not an application</t>
  </si>
  <si>
    <t xml:space="preserve">Self-reported 15+ mandates in 2025, $1B+ cumulative advised; Bulletin sell-side, Bridgepoint buy-side; Europe-weighted, smaller tickets</t>
  </si>
  <si>
    <t xml:space="preserve">No formal program</t>
  </si>
  <si>
    <t xml:space="preserve">Network play; strong European deal flow</t>
  </si>
  <si>
    <t xml:space="preserve">BitMEX sale mandate; market structure specialist (ErisX to Cboe); Broadhaven Ventures under the same roof</t>
  </si>
  <si>
    <t xml:space="preserve">Small team; lateral hires</t>
  </si>
  <si>
    <t xml:space="preserve">Opportunistic hiring</t>
  </si>
  <si>
    <t xml:space="preserve">Digital assets group; a DCG-related mandate referenced but unnamed; flow skews capital markets over M&amp;A</t>
  </si>
  <si>
    <t xml:space="preserve">Lateral and just-in-time</t>
  </si>
  <si>
    <t xml:space="preserve">Research-led digital assets banking; no disclosed M&amp;A credits surfaced 2024-26</t>
  </si>
  <si>
    <t xml:space="preserve">Lateral</t>
  </si>
  <si>
    <t xml:space="preserve">Co-FA to MARA (with Barclays) on the $1.5B Long Ridge buy; research shop with a real FA credit</t>
  </si>
  <si>
    <t xml:space="preserve">Early build-out</t>
  </si>
  <si>
    <t xml:space="preserve">Speculative approach; new franchise worth watching</t>
  </si>
  <si>
    <t xml:space="preserve">London digital asset boutique; no disclosed 2024-26 mandates surfaced in the research</t>
  </si>
  <si>
    <t xml:space="preserve">Deal evidence from press releases, firm tombstones, SEC filings, and Architect Partners alerts through Aug 21, 2026. Tier 1 runs on the Sept-Jan OCR cycle; Tiers 2 and 3 run rolling and post-close.</t>
  </si>
  <si>
    <t xml:space="preserve">Corporate Development Targets</t>
  </si>
  <si>
    <t xml:space="preserve">The buy side of your Deal Evidence tab  |  Just-in-time hiring; postings and network, not a cycle</t>
  </si>
  <si>
    <t xml:space="preserve">Fill in the yellow columns (F to M).</t>
  </si>
  <si>
    <t xml:space="preserve">Category</t>
  </si>
  <si>
    <t xml:space="preserve">Most acquisitive buyer in the dataset: 8+ deals in 18 months (NinjaTrader, Bitnomial, Reap, Small Exchange, Magna, Magic Labs, Breakout)</t>
  </si>
  <si>
    <t xml:space="preserve">Just-in-time; tiny team; pre-IPO equity</t>
  </si>
  <si>
    <t xml:space="preserve">Deribit ($2.9B) plus banker-less bolt-ons (Echo, Liquifi, Iron, Spindl); corp dev and ventures combined</t>
  </si>
  <si>
    <t xml:space="preserve">Elite in-house shop; runs structured MBA internships</t>
  </si>
  <si>
    <t xml:space="preserve">Fall applications plus alumni</t>
  </si>
  <si>
    <t xml:space="preserve">Pure network hiring; no MBA machine</t>
  </si>
  <si>
    <t xml:space="preserve">Warm intros only; two-year relationship project</t>
  </si>
  <si>
    <t xml:space="preserve">Hidden Road ($1.25B), GTreasury ($1B), Rail, BC Payments; a deal a quarter on a huge balance sheet</t>
  </si>
  <si>
    <t xml:space="preserve">Posts corp dev and integration roles</t>
  </si>
  <si>
    <t xml:space="preserve">Bitstamp, WonderFi, TradePMR; uses Barclays and JPMorgan outside, corp dev inside</t>
  </si>
  <si>
    <t xml:space="preserve">Posts roles; growing team</t>
  </si>
  <si>
    <t xml:space="preserve">Hashnote and infrastructure bolt-ons; public company with stablecoin consolidation mandate</t>
  </si>
  <si>
    <t xml:space="preserve">Small team; posts roles</t>
  </si>
  <si>
    <t xml:space="preserve">Small team; deal-driven hiring</t>
  </si>
  <si>
    <t xml:space="preserve">Infra (frozen)</t>
  </si>
  <si>
    <t xml:space="preserve">Cloudwall, Skolem, D3X, Coin Metrics ($100M+); principal-to-principal, no bankers ever disclosed</t>
  </si>
  <si>
    <t xml:space="preserve">Tiny; hires around deals</t>
  </si>
  <si>
    <t xml:space="preserve">POST-CLOSE ONLY: no contact while Project Optimus is live; afterward the warmest door available</t>
  </si>
  <si>
    <t xml:space="preserve">Corp dev teams are small (2 to 8 people) and hire around deals; the 'Not disclosed' buy-side cells in Deal Evidence mark the shops that run deals without bankers. Talos row is FROZEN until Project Optimus signs; no outreach of any kind before close.</t>
  </si>
  <si>
    <t xml:space="preserve">Venture / VC Targets</t>
  </si>
  <si>
    <t xml:space="preserve">Verified against the Aug 2026 NYC fund research  |  Full universe with HQ detail on the VC Fund Database tab  |  CVF opens ~Aug 28</t>
  </si>
  <si>
    <t xml:space="preserve">Fund</t>
  </si>
  <si>
    <t xml:space="preserve">Type</t>
  </si>
  <si>
    <t xml:space="preserve">Fund I $175M+ (Jun 2025); stablecoins, payments, tokenization; leads Will Nuelle and Mike Giampapa</t>
  </si>
  <si>
    <t xml:space="preserve">Small team; platform hires</t>
  </si>
  <si>
    <t xml:space="preserve">~$500M AUM; the single best stablecoins/payments thesis fit in NYC; capital markets DNA</t>
  </si>
  <si>
    <t xml:space="preserve">Small team; seed/A checks $500K-4M</t>
  </si>
  <si>
    <t xml:space="preserve">Newsletter, Layer One podcast, Stablecon conference</t>
  </si>
  <si>
    <t xml:space="preserve">Fund III $100M+ (Sep 2025); stablecoins, payments infra, crypto x AI; Ash Egan, Katherine Wu</t>
  </si>
  <si>
    <t xml:space="preserve">Concentrated team; occasional roles</t>
  </si>
  <si>
    <t xml:space="preserve">Variant 4 $222M (Jun 2026); crypto x AI 'autonomy' thesis; Jesse Walden, Li Jin; Brooklyn</t>
  </si>
  <si>
    <t xml:space="preserve">Small team</t>
  </si>
  <si>
    <t xml:space="preserve">$550M+ raised across recent vehicles; Brooklyn RIA; venture plus liquid; market-structure focus</t>
  </si>
  <si>
    <t xml:space="preserve">Small team; has hired early-career</t>
  </si>
  <si>
    <t xml:space="preserve">Fund II $75M (late 2024); pre-seed lead checks; fundamentals-driven; Evan Fisher (ex-Insight)</t>
  </si>
  <si>
    <t xml:space="preserve">Small; hires early-career</t>
  </si>
  <si>
    <t xml:space="preserve">$30M debut fund (Oct 2024); ex-Circle Ventures team (Lonergan, Lopez); stablecoin/tokenization thesis</t>
  </si>
  <si>
    <t xml:space="preserve">Tiny team; accessible</t>
  </si>
  <si>
    <t xml:space="preserve">Fund II $145M; consumer and Solana-weighted; Mike Dudas (The Block co-founder), Serge Kassardjian</t>
  </si>
  <si>
    <t xml:space="preserve">~$300M AUM; Travis Scher (ex-DCG), Glenn Hutchins; stablecoin payments and interoperability thesis</t>
  </si>
  <si>
    <t xml:space="preserve">Small; has advertised associate roles</t>
  </si>
  <si>
    <t xml:space="preserve">Scher podcasts; watch for openings</t>
  </si>
  <si>
    <t xml:space="preserve">Fund IV $650M (Feb 2026); RWA and stablecoin pivot; ~$4B AUM; note DOJ/Tornado Cash caveat on one GP</t>
  </si>
  <si>
    <t xml:space="preserve">Small NYC bench; occasional roles</t>
  </si>
  <si>
    <t xml:space="preserve">Small; has run analyst and fellow programs</t>
  </si>
  <si>
    <t xml:space="preserve">Backed both Talos and Coin Metrics; Boston HQ (not NYC); founders Nic Carter, Matt Walsh</t>
  </si>
  <si>
    <t xml:space="preserve">Small partnership; occasional fellows</t>
  </si>
  <si>
    <t xml:space="preserve">Post-close Talos angle; engage On The Brink first</t>
  </si>
  <si>
    <t xml:space="preserve">Most active CVC in crypto; sits inside the corp dev org; SF/remote</t>
  </si>
  <si>
    <t xml:space="preserve">No standalone MBA hiring; enter via Coinbase</t>
  </si>
  <si>
    <t xml:space="preserve">Standalone fund beside the most acquisitive corp dev team in crypto; SF/remote</t>
  </si>
  <si>
    <t xml:space="preserve">Tiny team</t>
  </si>
  <si>
    <t xml:space="preserve">Ecosystem network; double-counts with corp dev track</t>
  </si>
  <si>
    <t xml:space="preserve">Oldest dedicated crypto fund; venture plus liquid; Menlo Park (not NYC)</t>
  </si>
  <si>
    <t xml:space="preserve">Keep this lane in quiet channels during the EB cycle: CVF, Galaxy and Broadhaven relationships, and CVC coffees. Never signal the venture endgame in Tier 1 IB conversations. Non-NYC entries (Castle Island, Pantera, Kraken/Coinbase Ventures) are kept for relationship reasons; the full NYC universe is on the VC Fund Database tab.</t>
  </si>
  <si>
    <t xml:space="preserve">NYC Crypto VC Fund Database: Full Detail (verified Aug 2026)</t>
  </si>
  <si>
    <t xml:space="preserve">Every fund from the Aug 22, 2026 deep research at full fidelity: complete fund lineages, founders, LPs, and 2025-26 deal activity  |  Sections: NYC crypto-native, bicoastal, generalists, corporate/metro, excluded</t>
  </si>
  <si>
    <t xml:space="preserve">HQ / Main Location</t>
  </si>
  <si>
    <t xml:space="preserve">NYC Presence</t>
  </si>
  <si>
    <t xml:space="preserve">Founded</t>
  </si>
  <si>
    <t xml:space="preserve">Founders &amp; Key People</t>
  </si>
  <si>
    <t xml:space="preserve">Fund History (all vehicles)</t>
  </si>
  <si>
    <t xml:space="preserve">Strategy &amp; Checks</t>
  </si>
  <si>
    <t xml:space="preserve">Thesis / Focus</t>
  </si>
  <si>
    <t xml:space="preserve">Portfolio</t>
  </si>
  <si>
    <t xml:space="preserve">Recent Activity 2025-26</t>
  </si>
  <si>
    <t xml:space="preserve">LPs / Backers</t>
  </si>
  <si>
    <t xml:space="preserve">Engagement Hooks</t>
  </si>
  <si>
    <t xml:space="preserve">Notes / Caveats</t>
  </si>
  <si>
    <t xml:space="preserve">Brooklyn, NY</t>
  </si>
  <si>
    <t xml:space="preserve">Active</t>
  </si>
  <si>
    <t xml:space="preserve">2015</t>
  </si>
  <si>
    <t xml:space="preserve">Jake Brukhman (Managing Partner/CEO), Aleksandr Bulkin (co-founder), Alex Felix (Managing Partner/CIO); registered investment adviser</t>
  </si>
  <si>
    <t xml:space="preserve">$550M+ raised over 18 months across vehicles: $158M early-stage fund (2023, above its $125M target); Ventures I $300M (2022, Series A focus); Seed IV; deploying from Fund III and other vehicles in 2025-26</t>
  </si>
  <si>
    <t xml:space="preserve">Pre-seed through growth; equity + liquid tokens; network lifecycle investing approach</t>
  </si>
  <si>
    <t xml:space="preserve">DeFi, infrastructure, AI agents, market structure, stablecoins/payments</t>
  </si>
  <si>
    <t xml:space="preserve">Solana, Polygon, Dapper Labs, Blockdaemon</t>
  </si>
  <si>
    <t xml:space="preserve">Recent deals: Veda, Dakota, Ether.fi, Irys, Kadena, Trace Finance, Pluralis</t>
  </si>
  <si>
    <t xml:space="preserve">Not disclosed</t>
  </si>
  <si>
    <t xml:space="preserve">Active research and publishing, partner podcasts, regulatory engagement, careers page</t>
  </si>
  <si>
    <t xml:space="preserve">S1</t>
  </si>
  <si>
    <t xml:space="preserve">RIA registration is an institutional-credibility marker in this set</t>
  </si>
  <si>
    <t xml:space="preserve">New York, NY</t>
  </si>
  <si>
    <t xml:space="preserve">2021</t>
  </si>
  <si>
    <t xml:space="preserve">Ash Egan (Founder/GP; co-launched ConsenSys Ventures, ex-Accomplice); Katherine Wu (ex-Coinbase Ventures)</t>
  </si>
  <si>
    <t xml:space="preserve">$55M debut fund (2021); Fund II $155M (2022); Fund III $100M+ total commitments (Sep 2025); ~$350M reported assets</t>
  </si>
  <si>
    <t xml:space="preserve">Concentrated, high-conviction first check to Series A; equity + liquid positions (holds Solana and Ethereum)</t>
  </si>
  <si>
    <t xml:space="preserve">Onchain social, stablecoins, payments infrastructure, modular stacks, crypto x AI, DePIN</t>
  </si>
  <si>
    <t xml:space="preserve">Privy (acquired by Stripe), Rated, US Bitcoin Corp; Egan backed Chainalysis pre-Archetype</t>
  </si>
  <si>
    <t xml:space="preserve">Fund III close Sep 2025</t>
  </si>
  <si>
    <t xml:space="preserve">Pensions, endowments, sovereign wealth funds, funds of funds, family offices</t>
  </si>
  <si>
    <t xml:space="preserve">Archebyte podcast, NYC in-person events, content platform</t>
  </si>
  <si>
    <t xml:space="preserve">Egan frames the deliberately small Fund III as buying extreme selectivity and conviction per team</t>
  </si>
  <si>
    <t xml:space="preserve">Brooklyn, NY (1027 Grand St)</t>
  </si>
  <si>
    <t xml:space="preserve">2020</t>
  </si>
  <si>
    <t xml:space="preserve">Jesse Walden (ex-a16z crypto); Li Jin (co-GP; her Atelier Ventures merged in)</t>
  </si>
  <si>
    <t xml:space="preserve">$22.5M (2020); $110M (2021); Fund III $450M total, split $150M seed + $300M opportunity (2022); Variant 4 $222M (Jun 2026)</t>
  </si>
  <si>
    <t xml:space="preserve">Pre-seed/seed; equity + tokens</t>
  </si>
  <si>
    <t xml:space="preserve">Ownership economy; Variant 4 reframed around autonomy (crypto x AI)</t>
  </si>
  <si>
    <t xml:space="preserve">Uniswap, Phantom, Magic Eden, Mirror, Zora, Foundation, Flashbots, Blockaid</t>
  </si>
  <si>
    <t xml:space="preserve">Variant 4 close Jun 2026</t>
  </si>
  <si>
    <t xml:space="preserve">Heavy research and writing cadence; thesis essays</t>
  </si>
  <si>
    <t xml:space="preserve">Walden's view: within four years crypto investor will be as generic a label as internet investor</t>
  </si>
  <si>
    <t xml:space="preserve">Fund I 2024-25; platform investing since 2018</t>
  </si>
  <si>
    <t xml:space="preserve">Will Nuelle and Mike Giampapa (fund leads); affiliate of Galaxy (Nasdaq: GLXY; Mike Novogratz)</t>
  </si>
  <si>
    <t xml:space="preserve">Fund I $175M+ final close (Jun 2025), above its $150M target; first external venture capital after 120+ balance-sheet investments since 2018</t>
  </si>
  <si>
    <t xml:space="preserve">Early-stage equity plus co-investment; ~30 companies; $3-5M checks</t>
  </si>
  <si>
    <t xml:space="preserve">Stablecoins, payments, tokenization, and supporting infrastructure</t>
  </si>
  <si>
    <t xml:space="preserve">Ethena, Monad, Plume, 1Money, DoubleZero, Citrea, Arch Lending; balance-sheet legacy: Pyth, Chaos Labs, Fireblocks, Messari</t>
  </si>
  <si>
    <t xml:space="preserve">Deploying Fund I</t>
  </si>
  <si>
    <t xml:space="preserve">Institutional investors, family offices, fund-of-funds, strategic corporates (names undisclosed)</t>
  </si>
  <si>
    <t xml:space="preserve">Galaxy Research; platform team; ~550-person institutional footprint</t>
  </si>
  <si>
    <t xml:space="preserve">Exits include Tagomi and Bison Trails, both to Coinbase; Novogratz cast the above-target close in a hard market as proof of edge</t>
  </si>
  <si>
    <t xml:space="preserve">Mike Dudas (co-founder of The Block), Serge Kassardjian</t>
  </si>
  <si>
    <t xml:space="preserve">Fund II $145M (~2022)</t>
  </si>
  <si>
    <t xml:space="preserve">Pre-seed to Series A; equity + tokens; checks up to $4-5M; roughly one deal per month; ~50% Solana-weighted</t>
  </si>
  <si>
    <t xml:space="preserve">Consumer crypto, apps, infrastructure, gaming, media</t>
  </si>
  <si>
    <t xml:space="preserve">Magic Eden, io.net, Livepeer, Pump.fun</t>
  </si>
  <si>
    <t xml:space="preserve">Recent: Veera, worm.wtf, Inversion</t>
  </si>
  <si>
    <t xml:space="preserve">LPs included Galaxy Vision Hill; Marc Andreessen, Chris Dixon, and Bill Ackman invested personally</t>
  </si>
  <si>
    <t xml:space="preserve">Dudas is highly public on X; Breakpoint keynotes</t>
  </si>
  <si>
    <t xml:space="preserve">Placeholder</t>
  </si>
  <si>
    <t xml:space="preserve">Active (slower)</t>
  </si>
  <si>
    <t xml:space="preserve">2017</t>
  </si>
  <si>
    <t xml:space="preserve">Chris Burniske, Joel Monegro (both ex-USV lineage); Brad Burnham (venture partner); Mario Laul (research)</t>
  </si>
  <si>
    <t xml:space="preserve">~$150M managed</t>
  </si>
  <si>
    <t xml:space="preserve">Venture + public-market liquid hybrid; long-hold; 75+ investments</t>
  </si>
  <si>
    <t xml:space="preserve">Thesis-driven protocol investing</t>
  </si>
  <si>
    <t xml:space="preserve">Ethereum, Solana, Celestia, Monad, Aleo, Eclipse, Backpack, Squads, Tensor, Jito</t>
  </si>
  <si>
    <t xml:space="preserve">1-2 new deals per year recently</t>
  </si>
  <si>
    <t xml:space="preserve">Extensive public research library; partner podcasts; Burniske's cryptoasset valuation frameworks</t>
  </si>
  <si>
    <t xml:space="preserve">S2</t>
  </si>
  <si>
    <t xml:space="preserve">Iconic thesis shop; deployment pace is the tradeoff</t>
  </si>
  <si>
    <t xml:space="preserve">Hivemind Capital</t>
  </si>
  <si>
    <t xml:space="preserve">Active (hybrid)</t>
  </si>
  <si>
    <t xml:space="preserve">Matt Zhang (ex-Citi head of structured products trading); Richard Skeet (London; co-lead, runs the liquid platform)</t>
  </si>
  <si>
    <t xml:space="preserve">Launched with a $1.5B multi-strategy mandate (venture, liquid staking/yield, trading, play-to-earn gaming); Liquid Opportunity Fund $300M target (2023); Digital Culture Fund ~$50M target (2024, digital art)</t>
  </si>
  <si>
    <t xml:space="preserve">Hybrid venture + liquid + trading; real venture sleeve</t>
  </si>
  <si>
    <t xml:space="preserve">Multi-strategy digital assets</t>
  </si>
  <si>
    <t xml:space="preserve">Varied</t>
  </si>
  <si>
    <t xml:space="preserve">Institutional profile; less founder-facing</t>
  </si>
  <si>
    <t xml:space="preserve">S3</t>
  </si>
  <si>
    <t xml:space="preserve">NYC HQ but liquid investing reports to London</t>
  </si>
  <si>
    <t xml:space="preserve">Blockchange Ventures</t>
  </si>
  <si>
    <t xml:space="preserve">Fall 2017</t>
  </si>
  <si>
    <t xml:space="preserve">Ken Seiff (MP; ex-Bluefly, Beanstalk Ventures); Caroline Kassie; Dr. Gavin Wood (part-time GP); Rob Schmults (GP); Janice Chan (CFO); Jon Freedman (COO/CLO)</t>
  </si>
  <si>
    <t xml:space="preserve">Multiple funds across the Fund I to IV era</t>
  </si>
  <si>
    <t xml:space="preserve">Early-stage; equity + tokens</t>
  </si>
  <si>
    <t xml:space="preserve">Base layers and L1s</t>
  </si>
  <si>
    <t xml:space="preserve">Solana, Polkadot, Near, Flow, Dapper Labs, Figure, Axelar, Arbitrum, Zama</t>
  </si>
  <si>
    <t xml:space="preserve">~62 active positions; 7 new investments in the trailing 12 months as of mid-2026</t>
  </si>
  <si>
    <t xml:space="preserve">Seiff accessible via podcasts (The Defiant)</t>
  </si>
  <si>
    <t xml:space="preserve">Gavin Wood's part-time GP role is an unusual signal</t>
  </si>
  <si>
    <t xml:space="preserve">Travis Scher (ex-DCG VP of investments), James Hutchins (ex-Coatue research), Glenn Hutchins (Silver Lake co-founder; Chairman)</t>
  </si>
  <si>
    <t xml:space="preserve">Fund I ~$72M debut; Fund II $125M (2022); ~$300M AUM</t>
  </si>
  <si>
    <t xml:space="preserve">Early-stage; $250K-3M initial checks; 30-40 companies per fund; equity + tokens</t>
  </si>
  <si>
    <t xml:space="preserve">Interoperability (network of networks), DeFi, stablecoin payments, onchain neobanking</t>
  </si>
  <si>
    <t xml:space="preserve">Axelar, BCB Group, Dapper Labs, Flow, Immunefi, Polymer, Figure, Ether.fi, Utila</t>
  </si>
  <si>
    <t xml:space="preserve">Scher is public via podcasts and X; the firm has advertised associate hiring</t>
  </si>
  <si>
    <t xml:space="preserve">The associate-hiring history makes this a live seat to watch, not just a coffee</t>
  </si>
  <si>
    <t xml:space="preserve">2022</t>
  </si>
  <si>
    <t xml:space="preserve">Evan Fisher (ex-Insight Partners, ex-Goldman; Forbes 30 Under 30; Michigan Ross BBA '17); Catrina Wang (GP)</t>
  </si>
  <si>
    <t xml:space="preserve">Fund I $35-40M (2022); Fund II $75M closed late 2024, oversubscribed against ~$90M of interest</t>
  </si>
  <si>
    <t xml:space="preserve">Pre-seed lead investor; equity + tokens</t>
  </si>
  <si>
    <t xml:space="preserve">Fundamentals-driven protocol and business-model thesis; current theme: crypto rails for latent markets</t>
  </si>
  <si>
    <t xml:space="preserve">Uranium Digital</t>
  </si>
  <si>
    <t xml:space="preserve">Fund II deploying</t>
  </si>
  <si>
    <t xml:space="preserve">Backers include Chris Dixon and Marc Andreessen personally, and KKR's Henry Kravis</t>
  </si>
  <si>
    <t xml:space="preserve">Fisher's writing and podcasts; hires early-career</t>
  </si>
  <si>
    <t xml:space="preserve">The most MBA-legible investment framing in the NYC set</t>
  </si>
  <si>
    <t xml:space="preserve">Reciprocal Ventures</t>
  </si>
  <si>
    <t xml:space="preserve">New York, NY (24 W 25th St)</t>
  </si>
  <si>
    <t xml:space="preserve">Active (raising III)</t>
  </si>
  <si>
    <t xml:space="preserve">2016</t>
  </si>
  <si>
    <t xml:space="preserve">Michael Steinberg (ex-SAC/Point72 PM); Craig Burel (GP)</t>
  </si>
  <si>
    <t xml:space="preserve">Fund II $68.5M (2022); Fund III raising up to $100M, in market from early 2025; ~$201M AUM</t>
  </si>
  <si>
    <t xml:space="preserve">DeFi, institutional capital markets, web3 stack, payments</t>
  </si>
  <si>
    <t xml:space="preserve">Solana (seed), The Graph, TrueX, Coinflow Labs</t>
  </si>
  <si>
    <t xml:space="preserve">Fund III in market</t>
  </si>
  <si>
    <t xml:space="preserve">Diffusion thesis research; partner writing</t>
  </si>
  <si>
    <t xml:space="preserve">M31 Capital</t>
  </si>
  <si>
    <t xml:space="preserve">Active (liquid-heavy)</t>
  </si>
  <si>
    <t xml:space="preserve">Nathan Montone; offices in Scottsdale, SF, Shanghai, Seoul, Delhi, San Juan</t>
  </si>
  <si>
    <t xml:space="preserve">~$100M Web3 Opportunity Fund (Oct 2022, liquid venture); Bitcoin fund; DeFi fund; M31 Ventures arm</t>
  </si>
  <si>
    <t xml:space="preserve">Multi-strategy; venture arm invests equity + tokens</t>
  </si>
  <si>
    <t xml:space="preserve">Broad web3</t>
  </si>
  <si>
    <t xml:space="preserve">Huddle01, Euler, Elsa</t>
  </si>
  <si>
    <t xml:space="preserve">Latest venture deal: Euler (Jul 2025)</t>
  </si>
  <si>
    <t xml:space="preserve">Modest venture cadence</t>
  </si>
  <si>
    <t xml:space="preserve">Hybrid and liquid-heavy; venture is a sleeve</t>
  </si>
  <si>
    <t xml:space="preserve">Dragonfly</t>
  </si>
  <si>
    <t xml:space="preserve">NYC + Singapore (legal HQ Oakland/SF per some filings)</t>
  </si>
  <si>
    <t xml:space="preserve">Major office</t>
  </si>
  <si>
    <t xml:space="preserve">2018</t>
  </si>
  <si>
    <t xml:space="preserve">Founded by Alex Pack and Bo Feng; Haseeb Qureshi (Managing Partner); GPs Rob Hadick, Tom Schmidt</t>
  </si>
  <si>
    <t xml:space="preserve">Fund IV $650M (Feb 2026), 30% above its $500M target, matching Fund III (2022); ~$4B total AUM; acquired Metastable, one of the oldest crypto hedge funds</t>
  </si>
  <si>
    <t xml:space="preserve">Seed through Series B+; $3-30M checks; equity + liquid</t>
  </si>
  <si>
    <t xml:space="preserve">2025-26 pivot toward financial infrastructure, stablecoins, real-world assets, onchain finance</t>
  </si>
  <si>
    <t xml:space="preserve">Polymarket, Ethena, Rain, Mesh, Avalanche, Agora</t>
  </si>
  <si>
    <t xml:space="preserve">Fund IV close Feb 2026</t>
  </si>
  <si>
    <t xml:space="preserve">The Chopping Block podcast; research</t>
  </si>
  <si>
    <t xml:space="preserve">Caveat: DOJ signaled possible charges in 2025 tied to a 2020 Tornado Cash investment involving GP Tom Schmidt; Qureshi noted the raise landed amid deep bear-market gloom</t>
  </si>
  <si>
    <t xml:space="preserve">a16z crypto</t>
  </si>
  <si>
    <t xml:space="preserve">Menlo Park HQ; NYC office</t>
  </si>
  <si>
    <t xml:space="preserve">Office</t>
  </si>
  <si>
    <t xml:space="preserve">Chris Dixon (founder/lead; Columbia BA and MA in philosophy, HBS MBA); GPs Ali Yahya, Guy Wuollet, Eddy Lazzarin (newly promoted)</t>
  </si>
  <si>
    <t xml:space="preserve">Crypto Fund 5 $2.2B (May 2026); $9.8B total crypto capital</t>
  </si>
  <si>
    <t xml:space="preserve">Seed to growth; $10-60M checks; equity + tokens</t>
  </si>
  <si>
    <t xml:space="preserve">Fund 5 targets stablecoins, tokenization, perpetual futures, prediction markets, and AI agents; deep CLARITY Act and GENIUS Act policy engagement</t>
  </si>
  <si>
    <t xml:space="preserve">Coinbase, Uniswap, OpenSea, Solana</t>
  </si>
  <si>
    <t xml:space="preserve">Crypto Fund 5 close May 2026</t>
  </si>
  <si>
    <t xml:space="preserve">Crypto Startup School accelerator; a16z crypto research; State of Crypto report; active recruiting</t>
  </si>
  <si>
    <t xml:space="preserve">Highly competitive; the Dixon Columbia tie is a legitimate hook</t>
  </si>
  <si>
    <t xml:space="preserve">1kx</t>
  </si>
  <si>
    <t xml:space="preserve">Berlin (some databases list New York)</t>
  </si>
  <si>
    <t xml:space="preserve">Partners only</t>
  </si>
  <si>
    <t xml:space="preserve">2017-18</t>
  </si>
  <si>
    <t xml:space="preserve">Lasse Clausen, Christopher Heymann</t>
  </si>
  <si>
    <t xml:space="preserve">$75M fund closed Mar 2024</t>
  </si>
  <si>
    <t xml:space="preserve">Seed/A; token-network specialist; equity + tokens</t>
  </si>
  <si>
    <t xml:space="preserve">Token networks</t>
  </si>
  <si>
    <t xml:space="preserve">Celestia, Arweave, Solana, Reown/WalletConnect, LI.FI, Layer3</t>
  </si>
  <si>
    <t xml:space="preserve">Monitor</t>
  </si>
  <si>
    <t xml:space="preserve">Should not be counted as an NYC fund in practice</t>
  </si>
  <si>
    <t xml:space="preserve">Lightspeed Faction</t>
  </si>
  <si>
    <t xml:space="preserve">Menlo Park / SF</t>
  </si>
  <si>
    <t xml:space="preserve">No</t>
  </si>
  <si>
    <t xml:space="preserve">2023</t>
  </si>
  <si>
    <t xml:space="preserve">Sam Harrison, Banafsheh Fathieh</t>
  </si>
  <si>
    <t xml:space="preserve">$285M inaugural fund (2023)</t>
  </si>
  <si>
    <t xml:space="preserve">Early-stage crypto</t>
  </si>
  <si>
    <t xml:space="preserve">Lightspeed-affiliated</t>
  </si>
  <si>
    <t xml:space="preserve">Exclude</t>
  </si>
  <si>
    <t xml:space="preserve">West Coast; on the map only to close the question of whether it belongs here</t>
  </si>
  <si>
    <t xml:space="preserve">2003-04</t>
  </si>
  <si>
    <t xml:space="preserve">Fred Wilson, Brad Burnham (founders)</t>
  </si>
  <si>
    <t xml:space="preserve">Last core fund $275M plus $350M opportunity fund (2022, $625M total); small funds by design</t>
  </si>
  <si>
    <t xml:space="preserve">Series A-centric equity; collaborative decision-making</t>
  </si>
  <si>
    <t xml:space="preserve">Thesis 3.0; crypto since 2013 (first bet Coinbase); 25+ web3 positions</t>
  </si>
  <si>
    <t xml:space="preserve">Coinbase, Uniswap, Polygon, Helium, Dapper</t>
  </si>
  <si>
    <t xml:space="preserve">Led a 2025 prediction-market startup round alongside Coinbase Ventures</t>
  </si>
  <si>
    <t xml:space="preserve">USV thesis blog; Fred Wilson's AVC; alumni lineage runs to Placeholder (Monegro, Burniske era)</t>
  </si>
  <si>
    <t xml:space="preserve">They reward writing; written outreach plays to this</t>
  </si>
  <si>
    <t xml:space="preserve">New York, NY (200 Park Ave S)</t>
  </si>
  <si>
    <t xml:space="preserve">2012</t>
  </si>
  <si>
    <t xml:space="preserve">Brooks Gibbins, Gareth Jones</t>
  </si>
  <si>
    <t xml:space="preserve">~$500M AUM; 7 funds; 171 investments; 14 exits</t>
  </si>
  <si>
    <t xml:space="preserve">Seed/A; $500K-4M checks; equity</t>
  </si>
  <si>
    <t xml:space="preserve">Fintech + DeFi crossover; stablecoins, payments, capital markets DNA</t>
  </si>
  <si>
    <t xml:space="preserve">171 investments (individual crypto names not detailed in the research)</t>
  </si>
  <si>
    <t xml:space="preserve">Newsletters (The Dollar's New Avatar; Stablecoins Take the Lead); Layer One podcast; adjacent to the Stablecon NYC conference</t>
  </si>
  <si>
    <t xml:space="preserve">Best pure stablecoins/payments thesis fit in the city</t>
  </si>
  <si>
    <t xml:space="preserve">RRE Ventures</t>
  </si>
  <si>
    <t xml:space="preserve">New York, NY (130 E 59th)</t>
  </si>
  <si>
    <t xml:space="preserve">1994</t>
  </si>
  <si>
    <t xml:space="preserve">Long-standing NYC partnership</t>
  </si>
  <si>
    <t xml:space="preserve">~$2.5B AUM; 5 funds</t>
  </si>
  <si>
    <t xml:space="preserve">Seed/A; primarily equity</t>
  </si>
  <si>
    <t xml:space="preserve">Generalist with a dedicated crypto focus area</t>
  </si>
  <si>
    <t xml:space="preserve">Ripple, Paxos, Binance.US, BitPay, Blockdaemon, Abra, Bitnomial</t>
  </si>
  <si>
    <t xml:space="preserve">Active in 2025-26</t>
  </si>
  <si>
    <t xml:space="preserve">NYC generalist brand; crypto focus page</t>
  </si>
  <si>
    <t xml:space="preserve">Bitnomial overlap connects to your Deal Evidence tab</t>
  </si>
  <si>
    <t xml:space="preserve">Insight Partners</t>
  </si>
  <si>
    <t xml:space="preserve">Active (crypto episodic)</t>
  </si>
  <si>
    <t xml:space="preserve">Growth platform</t>
  </si>
  <si>
    <t xml:space="preserve">~$90B AUM</t>
  </si>
  <si>
    <t xml:space="preserve">Growth equity</t>
  </si>
  <si>
    <t xml:space="preserve">Crypto-adjacent since 2020</t>
  </si>
  <si>
    <t xml:space="preserve">FTX (historic), TaxBit</t>
  </si>
  <si>
    <t xml:space="preserve">Portal's Evan Fisher is an alumnus</t>
  </si>
  <si>
    <t xml:space="preserve">Crypto is opportunistic, not a practice</t>
  </si>
  <si>
    <t xml:space="preserve">Thrive Capital</t>
  </si>
  <si>
    <t xml:space="preserve">New York, NY (Puck Building)</t>
  </si>
  <si>
    <t xml:space="preserve">Active (minimal crypto)</t>
  </si>
  <si>
    <t xml:space="preserve">2009</t>
  </si>
  <si>
    <t xml:space="preserve">Josh Kushner</t>
  </si>
  <si>
    <t xml:space="preserve">Thrive X $10B (Feb 2026); ~$50-65B AUM</t>
  </si>
  <si>
    <t xml:space="preserve">Growth; equity</t>
  </si>
  <si>
    <t xml:space="preserve">AI, consumer, enterprise core; crypto peripheral</t>
  </si>
  <si>
    <t xml:space="preserve">OpenAI, Stripe, SpaceX; Robinhood on the historic fintech side</t>
  </si>
  <si>
    <t xml:space="preserve">Peripheral for this thesis</t>
  </si>
  <si>
    <t xml:space="preserve">Deviation Capital (ex-Two Sigma Ventures)</t>
  </si>
  <si>
    <t xml:space="preserve">Active (crypto sleeve)</t>
  </si>
  <si>
    <t xml:space="preserve">Rebranded 2025-26</t>
  </si>
  <si>
    <t xml:space="preserve">~$400M across two 2022 funds; roughly 15% allocated to crypto/web3</t>
  </si>
  <si>
    <t xml:space="preserve">Data-driven generalist; equity</t>
  </si>
  <si>
    <t xml:space="preserve">Crypto is a minority sleeve</t>
  </si>
  <si>
    <t xml:space="preserve">Pyth, Omni, Rally</t>
  </si>
  <si>
    <t xml:space="preserve">Verify the rebrand on the firm's site before outreach</t>
  </si>
  <si>
    <t xml:space="preserve">Valor Capital Group</t>
  </si>
  <si>
    <t xml:space="preserve">New York, NY (+ Rio, Sao Paulo)</t>
  </si>
  <si>
    <t xml:space="preserve">Active (crypto opportunistic)</t>
  </si>
  <si>
    <t xml:space="preserve">2011</t>
  </si>
  <si>
    <t xml:space="preserve">Sobel family</t>
  </si>
  <si>
    <t xml:space="preserve">~$2.2B AUM</t>
  </si>
  <si>
    <t xml:space="preserve">US-Brazil/LatAm crossover; equity</t>
  </si>
  <si>
    <t xml:space="preserve">Crypto limited and opportunistic</t>
  </si>
  <si>
    <t xml:space="preserve">Coinbase, Bitso, Valora</t>
  </si>
  <si>
    <t xml:space="preserve">Personal edge: your Sao Paulo M&amp;A years and dual citizenship are differentiated here</t>
  </si>
  <si>
    <t xml:space="preserve">New York, NY (666 Third Ave)</t>
  </si>
  <si>
    <t xml:space="preserve">Oct 2024</t>
  </si>
  <si>
    <t xml:space="preserve">Wyatt Lonergan, Juan Lopez (both ex-Circle Ventures)</t>
  </si>
  <si>
    <t xml:space="preserve">$30M debut fund closed early 2025; related PurposeBuilt Fund launched Jun 2025 (liquid + venture)</t>
  </si>
  <si>
    <t xml:space="preserve">Pre-seed/seed; $500K-1M checks; 25-35 companies; equity</t>
  </si>
  <si>
    <t xml:space="preserve">Fintech + digital assets + AI; stablecoins and tokenization</t>
  </si>
  <si>
    <t xml:space="preserve">Building portfolio</t>
  </si>
  <si>
    <t xml:space="preserve">Actively deploying</t>
  </si>
  <si>
    <t xml:space="preserve">VanEck (parent)</t>
  </si>
  <si>
    <t xml:space="preserve">The Circle Ventures spinout story is the natural intro line</t>
  </si>
  <si>
    <t xml:space="preserve">Circle Ventures</t>
  </si>
  <si>
    <t xml:space="preserve">New York, NY (One World Trade Center)</t>
  </si>
  <si>
    <t xml:space="preserve">Active (modest)</t>
  </si>
  <si>
    <t xml:space="preserve">Circle relocated HQ around its Jun 2025 NYSE IPO (CRCL, ~$1.05B raised)</t>
  </si>
  <si>
    <t xml:space="preserve">~9 investments to date</t>
  </si>
  <si>
    <t xml:space="preserve">CVC equity</t>
  </si>
  <si>
    <t xml:space="preserve">USDC ecosystem</t>
  </si>
  <si>
    <t xml:space="preserve">Latest: Zodia Markets (Jul 2025)</t>
  </si>
  <si>
    <t xml:space="preserve">Circle (parent)</t>
  </si>
  <si>
    <t xml:space="preserve">Prior VC leads left to found VanEck Ventures, thinning dedicated activity</t>
  </si>
  <si>
    <t xml:space="preserve">Consensys / Mesh</t>
  </si>
  <si>
    <t xml:space="preserve">Consensys 2014; Mesh 2015, independent 2020</t>
  </si>
  <si>
    <t xml:space="preserve">Joe Lubin (founder)</t>
  </si>
  <si>
    <t xml:space="preserve">~138 equity/token positions; Tachyon and TachyonX accelerators (90+ projects)</t>
  </si>
  <si>
    <t xml:space="preserve">CVC equity + tokens; accelerator</t>
  </si>
  <si>
    <t xml:space="preserve">Ethereum ecosystem</t>
  </si>
  <si>
    <t xml:space="preserve">MetaMask, Gnosis, Aztec, Gitcoin</t>
  </si>
  <si>
    <t xml:space="preserve">Mesh new-deal cadence below peak</t>
  </si>
  <si>
    <t xml:space="preserve">Tachyon accelerator; ecosystem events</t>
  </si>
  <si>
    <t xml:space="preserve">Consensys IPO delayed to fall 2026 after the Feb 2026 downturn; ARR $150M+; last valued $7B (2022)</t>
  </si>
  <si>
    <t xml:space="preserve">Ava Labs / Blizzard Fund</t>
  </si>
  <si>
    <t xml:space="preserve">Brooklyn, NY (+ Miami)</t>
  </si>
  <si>
    <t xml:space="preserve">Emin Gun Sirer, Kevin Sekniqi, Ted Yin</t>
  </si>
  <si>
    <t xml:space="preserve">Ava Labs raised $250M in Dec 2024 (Galaxy-led); Blizzard is a $200M+ Avalanche ecosystem fund (launched 2021)</t>
  </si>
  <si>
    <t xml:space="preserve">Ecosystem equity + tokens</t>
  </si>
  <si>
    <t xml:space="preserve">Avalanche ecosystem</t>
  </si>
  <si>
    <t xml:space="preserve">150+ Blizzard investments</t>
  </si>
  <si>
    <t xml:space="preserve">Still deploying into the ecosystem</t>
  </si>
  <si>
    <t xml:space="preserve">Galaxy led the Dec 2024 raise</t>
  </si>
  <si>
    <t xml:space="preserve">Ecosystem events</t>
  </si>
  <si>
    <t xml:space="preserve">Winklevoss Capital / Gemini</t>
  </si>
  <si>
    <t xml:space="preserve">New York, NY (30 W 24th)</t>
  </si>
  <si>
    <t xml:space="preserve">Cameron and Tyler Winklevoss</t>
  </si>
  <si>
    <t xml:space="preserve">~172 investments; 24 exits</t>
  </si>
  <si>
    <t xml:space="preserve">Family office VC; equity + BTC</t>
  </si>
  <si>
    <t xml:space="preserve">Crypto, space, energy, biotech</t>
  </si>
  <si>
    <t xml:space="preserve">Broad portfolio</t>
  </si>
  <si>
    <t xml:space="preserve">Gemini Space Station (Nasdaq: GEMI) IPO priced at $28, above the $24-26 range, Sep 2025; 15,178,572 Class A shares; ~$425M raised at ~$3.3B valuation; reported 20x oversubscribed; Nasdaq committed a $50M private placement</t>
  </si>
  <si>
    <t xml:space="preserve">Gemini stock later fell sharply; Winklevoss Capital injected $100M at $14/share in May 2026, paid in bitcoin</t>
  </si>
  <si>
    <t xml:space="preserve">Republic Capital / Crypto</t>
  </si>
  <si>
    <t xml:space="preserve">Republic 2016; Capital arm 2019</t>
  </si>
  <si>
    <t xml:space="preserve">Organized as Republic Capital (multi-stage VC), Republic Digital (crypto hedge fund), Republic Crypto (advisory)</t>
  </si>
  <si>
    <t xml:space="preserve">$2.6B+ deployed across 2,500+ ventures</t>
  </si>
  <si>
    <t xml:space="preserve">Multi-stage; equity + tokens</t>
  </si>
  <si>
    <t xml:space="preserve">Tokenized assets and retail platform push in 2026</t>
  </si>
  <si>
    <t xml:space="preserve">Broad</t>
  </si>
  <si>
    <t xml:space="preserve">Latest Republic Capital deal: Neblio Technologies (Oct 2025)</t>
  </si>
  <si>
    <t xml:space="preserve">Backed by Galaxy, Binance, Naspers</t>
  </si>
  <si>
    <t xml:space="preserve">Platform events</t>
  </si>
  <si>
    <t xml:space="preserve">White Star Capital DAF</t>
  </si>
  <si>
    <t xml:space="preserve">New York (DAF team; global firm: London, Paris, Montreal, Toronto, Tokyo, Singapore)</t>
  </si>
  <si>
    <t xml:space="preserve">Team</t>
  </si>
  <si>
    <t xml:space="preserve">Active (modest cadence)</t>
  </si>
  <si>
    <t xml:space="preserve">DAF I 2021</t>
  </si>
  <si>
    <t xml:space="preserve">Sep Alavi (Managing Partner); Eddie Lee, Luke Xiao (DAF team)</t>
  </si>
  <si>
    <t xml:space="preserve">DAF I $50M (2021); DAF II $120M first close (2022, Ubisoft anchor)</t>
  </si>
  <si>
    <t xml:space="preserve">Seed/A; equity + tokens</t>
  </si>
  <si>
    <t xml:space="preserve">DeFi, gaming</t>
  </si>
  <si>
    <t xml:space="preserve">Ledn, RedStone, Etherfuse, Kulipa</t>
  </si>
  <si>
    <t xml:space="preserve">Latest: Alfred (Jan 2026)</t>
  </si>
  <si>
    <t xml:space="preserve">Ubisoft anchored DAF II</t>
  </si>
  <si>
    <t xml:space="preserve">DCG</t>
  </si>
  <si>
    <t xml:space="preserve">Stamford, CT (relocated from Manhattan 2021)</t>
  </si>
  <si>
    <t xml:space="preserve">Metro</t>
  </si>
  <si>
    <t xml:space="preserve">Barry Silbert</t>
  </si>
  <si>
    <t xml:space="preserve">200+ investments; targeting a $1B Fund V per PitchBook</t>
  </si>
  <si>
    <t xml:space="preserve">CVC/operator; venture equity + private tokens + event-driven plays</t>
  </si>
  <si>
    <t xml:space="preserve">Broad digital assets</t>
  </si>
  <si>
    <t xml:space="preserve">Grayscale, Foundry, Luno</t>
  </si>
  <si>
    <t xml:space="preserve">Metro-area coffee range</t>
  </si>
  <si>
    <t xml:space="preserve">Genesis went bankrupt in 2023; CoinDesk was sold</t>
  </si>
  <si>
    <t xml:space="preserve">50T (ex-10T / 1RT)</t>
  </si>
  <si>
    <t xml:space="preserve">Stamford/Greenwich, CT</t>
  </si>
  <si>
    <t xml:space="preserve">10T 2021; 1RT 2023; merged as 50T Jul 2025</t>
  </si>
  <si>
    <t xml:space="preserve">Dan Tapiero</t>
  </si>
  <si>
    <t xml:space="preserve">$500M growth-equity fund launched at the merger; ~$2B combined AUM</t>
  </si>
  <si>
    <t xml:space="preserve">Growth equity; no tokens</t>
  </si>
  <si>
    <t xml:space="preserve">Growth-stage digital assets</t>
  </si>
  <si>
    <t xml:space="preserve">Kraken, Yuga Labs, Animoca, Ledger, Ledn, Quicknode</t>
  </si>
  <si>
    <t xml:space="preserve">Growth-stage crossover angle only</t>
  </si>
  <si>
    <t xml:space="preserve">Bitkraft Ventures</t>
  </si>
  <si>
    <t xml:space="preserve">Denver/Berlin (NYC is one of several offices)</t>
  </si>
  <si>
    <t xml:space="preserve">Jens Hilgers (founder); Carlos Pereira leads web3</t>
  </si>
  <si>
    <t xml:space="preserve">$1B+ AUM; Fund III $275M (2024) plus token funds</t>
  </si>
  <si>
    <t xml:space="preserve">Web3 gaming; equity + tokens</t>
  </si>
  <si>
    <t xml:space="preserve">Gaming and interactive media</t>
  </si>
  <si>
    <t xml:space="preserve">Gaming portfolio</t>
  </si>
  <si>
    <t xml:space="preserve">Gaming-only relevance</t>
  </si>
  <si>
    <t xml:space="preserve">Metalayer</t>
  </si>
  <si>
    <t xml:space="preserve">NYC-linked (verify HQ)</t>
  </si>
  <si>
    <t xml:space="preserve">Verify</t>
  </si>
  <si>
    <t xml:space="preserve">Active (emerging)</t>
  </si>
  <si>
    <t xml:space="preserve">Recent</t>
  </si>
  <si>
    <t xml:space="preserve">Founded by Two Sigma veterans</t>
  </si>
  <si>
    <t xml:space="preserve">~$25M fund</t>
  </si>
  <si>
    <t xml:space="preserve">The research associates the fund with Ethena and Clear Token; verify whether as backers or portfolio</t>
  </si>
  <si>
    <t xml:space="preserve">Newly surfaced in the research; small but worth tracking as an emerging vehicle</t>
  </si>
  <si>
    <t xml:space="preserve">Neoclassic Capital</t>
  </si>
  <si>
    <t xml:space="preserve">Miami, FL</t>
  </si>
  <si>
    <t xml:space="preserve">NYC-connected</t>
  </si>
  <si>
    <t xml:space="preserve">2024</t>
  </si>
  <si>
    <t xml:space="preserve">Michael Bucella (ex-BlockTower), Steve Lee</t>
  </si>
  <si>
    <t xml:space="preserve">Building</t>
  </si>
  <si>
    <t xml:space="preserve">Backers include Marc Andreessen and Chris Dixon personally</t>
  </si>
  <si>
    <t xml:space="preserve">Bucella is NYC-visible and media-active</t>
  </si>
  <si>
    <t xml:space="preserve">The firm is Miami despite the NYC network</t>
  </si>
  <si>
    <t xml:space="preserve">Breed VC</t>
  </si>
  <si>
    <t xml:space="preserve">Boston/Miami roots (databases list Boston/NY)</t>
  </si>
  <si>
    <t xml:space="preserve">Listings vary</t>
  </si>
  <si>
    <t xml:space="preserve">Active (small)</t>
  </si>
  <si>
    <t xml:space="preserve">Jed Breed</t>
  </si>
  <si>
    <t xml:space="preserve">Fund I $20M (2023); Fund II first close ~$13.6M (Nov 2025)</t>
  </si>
  <si>
    <t xml:space="preserve">Small early-stage</t>
  </si>
  <si>
    <t xml:space="preserve">Small portfolio</t>
  </si>
  <si>
    <t xml:space="preserve">Fund I backed by Castle Island's Nic Carter and Matt Walsh, Tribe Capital, Shima Capital</t>
  </si>
  <si>
    <t xml:space="preserve">The Castle Island connection ties into your Talos web</t>
  </si>
  <si>
    <t xml:space="preserve">Syncracy Capital</t>
  </si>
  <si>
    <t xml:space="preserve">Not venture (liquid)</t>
  </si>
  <si>
    <t xml:space="preserve">Ryan Watkins, Daniel Cheung</t>
  </si>
  <si>
    <t xml:space="preserve">~$230M AUM</t>
  </si>
  <si>
    <t xml:space="preserve">Liquid token hedge fund</t>
  </si>
  <si>
    <t xml:space="preserve">Exclude from VC targeting; the research output is still worth reading</t>
  </si>
  <si>
    <t xml:space="preserve">Brevan Howard Digital</t>
  </si>
  <si>
    <t xml:space="preserve">UK / Austin</t>
  </si>
  <si>
    <t xml:space="preserve">Mostly liquid</t>
  </si>
  <si>
    <t xml:space="preserve">Fund fell 29.5% in 2025, its worst year since launch, driven by illiquid markdowns</t>
  </si>
  <si>
    <t xml:space="preserve">Liquid with a minority venture sleeve</t>
  </si>
  <si>
    <t xml:space="preserve">Shifting toward stablecoins and infrastructure</t>
  </si>
  <si>
    <t xml:space="preserve">Not an NYC venture target</t>
  </si>
  <si>
    <t xml:space="preserve">NYDIG / Stone Ridge</t>
  </si>
  <si>
    <t xml:space="preserve">Not VC</t>
  </si>
  <si>
    <t xml:space="preserve">Ross Stevens</t>
  </si>
  <si>
    <t xml:space="preserve">Bitcoin financial services: custody, mining, power</t>
  </si>
  <si>
    <t xml:space="preserve">Acquired Crusoe's bitcoin mining operations (Mar 2025)</t>
  </si>
  <si>
    <t xml:space="preserve">Interesting company, wrong lane for VC targeting</t>
  </si>
  <si>
    <t xml:space="preserve">ProCap (Pompliano)</t>
  </si>
  <si>
    <t xml:space="preserve">Anthony Pompliano</t>
  </si>
  <si>
    <t xml:space="preserve">$750M+ raised; SPAC merger completed Dec 2025 (Nasdaq: BRR, via Columbus Circle Capital Corp I)</t>
  </si>
  <si>
    <t xml:space="preserve">Bitcoin treasury company</t>
  </si>
  <si>
    <t xml:space="preserve">Shares fell sharply post-merger amid the broader derating of 2025-vintage bitcoin treasury companies</t>
  </si>
  <si>
    <t xml:space="preserve">Tusk Venture Partners</t>
  </si>
  <si>
    <t xml:space="preserve">Winding down VC</t>
  </si>
  <si>
    <t xml:space="preserve">Bradley Tusk, Jordan Nof</t>
  </si>
  <si>
    <t xml:space="preserve">Fund III (2022) announced as the last traditional venture fund</t>
  </si>
  <si>
    <t xml:space="preserve">Pivoting to an equity-for-services regulatory consulting model</t>
  </si>
  <si>
    <t xml:space="preserve">Regulatory-adjacent crypto historically</t>
  </si>
  <si>
    <t xml:space="preserve">Coinbase, Circle, Ripple (regulatory-adjacent)</t>
  </si>
  <si>
    <t xml:space="preserve">Do not spend networking time here</t>
  </si>
  <si>
    <t xml:space="preserve">Point72 Ventures</t>
  </si>
  <si>
    <t xml:space="preserve">Stamford parent</t>
  </si>
  <si>
    <t xml:space="preserve">Exited crypto VC</t>
  </si>
  <si>
    <t xml:space="preserve">Now AI, defense, enterprise</t>
  </si>
  <si>
    <t xml:space="preserve">Crypto and digital assets team laid off Jun 2024</t>
  </si>
  <si>
    <t xml:space="preserve">No active crypto VC</t>
  </si>
  <si>
    <t xml:space="preserve">Full-fidelity transfer of the Aug 22, 2026 deep research: complete fund lineages, founder rosters, LP compositions, and 2025-26 activity as reported. Blank cells mean the research did not surface that field, not that it does not exist. Fund sizes from third-party databases are approximate; confirm final closes with each firm before citing in conversation.</t>
  </si>
  <si>
    <t xml:space="preserve">People Directory: Named Individuals Across All Lanes</t>
  </si>
  <si>
    <t xml:space="preserve">Every publicly prominent person named in the Aug 2026 research and tracker  |  Verify current role on LinkedIn before ANY outreach</t>
  </si>
  <si>
    <t xml:space="preserve">Fill in the yellow columns (G to K) as you verify and meet people.</t>
  </si>
  <si>
    <t xml:space="preserve">People:</t>
  </si>
  <si>
    <t xml:space="preserve">Person</t>
  </si>
  <si>
    <t xml:space="preserve">Role / Background</t>
  </si>
  <si>
    <t xml:space="preserve">Engagement Channel / Hook</t>
  </si>
  <si>
    <t xml:space="preserve">Personal or Columbia Tie</t>
  </si>
  <si>
    <t xml:space="preserve">LinkedIn (verified)</t>
  </si>
  <si>
    <t xml:space="preserve">Will Nuelle</t>
  </si>
  <si>
    <t xml:space="preserve">Fund I co-lead</t>
  </si>
  <si>
    <t xml:space="preserve">Galaxy Research; NYC events; CVF</t>
  </si>
  <si>
    <t xml:space="preserve">Galaxy is your dual IB + Ventures door</t>
  </si>
  <si>
    <t xml:space="preserve">Mike Giampapa</t>
  </si>
  <si>
    <t xml:space="preserve">Galaxy Research; NYC events</t>
  </si>
  <si>
    <t xml:space="preserve">Mike Novogratz</t>
  </si>
  <si>
    <t xml:space="preserve">Galaxy Digital</t>
  </si>
  <si>
    <t xml:space="preserve">Founder/CEO (Nasdaq: GLXY)</t>
  </si>
  <si>
    <t xml:space="preserve">Context</t>
  </si>
  <si>
    <t xml:space="preserve">Public figure; not an outreach target - know his framing of the Fund I raise</t>
  </si>
  <si>
    <t xml:space="preserve">Jake Brukhman</t>
  </si>
  <si>
    <t xml:space="preserve">Co-founder, Managing Partner/CEO (2015)</t>
  </si>
  <si>
    <t xml:space="preserve">CoinFund research and podcast; NYC events</t>
  </si>
  <si>
    <t xml:space="preserve">Brooklyn proximity: weekly-visible fund</t>
  </si>
  <si>
    <t xml:space="preserve">Alex Felix</t>
  </si>
  <si>
    <t xml:space="preserve">Managing Partner/CIO</t>
  </si>
  <si>
    <t xml:space="preserve">Research engagement</t>
  </si>
  <si>
    <t xml:space="preserve">Aleksandr Bulkin</t>
  </si>
  <si>
    <t xml:space="preserve">Co-founder</t>
  </si>
  <si>
    <t xml:space="preserve">Ash Egan</t>
  </si>
  <si>
    <t xml:space="preserve">Founder/GP; co-launched ConsenSys Ventures, ex-Accomplice</t>
  </si>
  <si>
    <t xml:space="preserve">Archebyte podcast; Archetype NYC events</t>
  </si>
  <si>
    <t xml:space="preserve">Katherine Wu</t>
  </si>
  <si>
    <t xml:space="preserve">Team; ex-Coinbase Ventures</t>
  </si>
  <si>
    <t xml:space="preserve">Content platform; NYC events</t>
  </si>
  <si>
    <t xml:space="preserve">Jesse Walden</t>
  </si>
  <si>
    <t xml:space="preserve">Co-founder; ex-a16z crypto</t>
  </si>
  <si>
    <t xml:space="preserve">Thesis essays - respond in writing</t>
  </si>
  <si>
    <t xml:space="preserve">Li Jin</t>
  </si>
  <si>
    <t xml:space="preserve">Co-GP; merged Atelier Ventures in</t>
  </si>
  <si>
    <t xml:space="preserve">Writing on ownership economy</t>
  </si>
  <si>
    <t xml:space="preserve">Brooks Gibbins</t>
  </si>
  <si>
    <t xml:space="preserve">Co-founder (2012)</t>
  </si>
  <si>
    <t xml:space="preserve">Newsletter; Layer One podcast; Stablecon</t>
  </si>
  <si>
    <t xml:space="preserve">Capital-markets DNA matches your prime-lending seat</t>
  </si>
  <si>
    <t xml:space="preserve">Gareth Jones</t>
  </si>
  <si>
    <t xml:space="preserve">Newsletter; Stablecon</t>
  </si>
  <si>
    <t xml:space="preserve">Evan Fisher</t>
  </si>
  <si>
    <t xml:space="preserve">Founder; ex-Insight Partners, ex-Goldman; Michigan Ross BBA '17</t>
  </si>
  <si>
    <t xml:space="preserve">His writing and podcasts; fundamentals framing</t>
  </si>
  <si>
    <t xml:space="preserve">Most MBA-friendly investor in the set; Insight alumni web</t>
  </si>
  <si>
    <t xml:space="preserve">Catrina Wang</t>
  </si>
  <si>
    <t xml:space="preserve">GP</t>
  </si>
  <si>
    <t xml:space="preserve">Portal content</t>
  </si>
  <si>
    <t xml:space="preserve">Mike Dudas</t>
  </si>
  <si>
    <t xml:space="preserve">Co-founder; co-founded The Block</t>
  </si>
  <si>
    <t xml:space="preserve">Highly public on X; Breakpoint keynotes</t>
  </si>
  <si>
    <t xml:space="preserve">Serge Kassardjian</t>
  </si>
  <si>
    <t xml:space="preserve">NYC events</t>
  </si>
  <si>
    <t xml:space="preserve">Haseeb Qureshi</t>
  </si>
  <si>
    <t xml:space="preserve">Managing Partner</t>
  </si>
  <si>
    <t xml:space="preserve">Rob Hadick</t>
  </si>
  <si>
    <t xml:space="preserve">General Partner</t>
  </si>
  <si>
    <t xml:space="preserve">Research; NYC events</t>
  </si>
  <si>
    <t xml:space="preserve">Tom Schmidt</t>
  </si>
  <si>
    <t xml:space="preserve">DO NOT LEAD HERE: DOJ signaled possible charges (2025) tied to a 2020 Tornado Cash investment</t>
  </si>
  <si>
    <t xml:space="preserve">Wyatt Lonergan</t>
  </si>
  <si>
    <t xml:space="preserve">Co-lead; ex-Circle Ventures</t>
  </si>
  <si>
    <t xml:space="preserve">Media-active; direct outreach viable</t>
  </si>
  <si>
    <t xml:space="preserve">Your ETC Group ETP years are the natural intro at an ETP house</t>
  </si>
  <si>
    <t xml:space="preserve">Juan Lopez</t>
  </si>
  <si>
    <t xml:space="preserve">Media-active</t>
  </si>
  <si>
    <t xml:space="preserve">Fred Wilson</t>
  </si>
  <si>
    <t xml:space="preserve">Co-founder (2003-04)</t>
  </si>
  <si>
    <t xml:space="preserve">AVC blog; USV thesis blog - they reward written outreach</t>
  </si>
  <si>
    <t xml:space="preserve">Brad Burnham</t>
  </si>
  <si>
    <t xml:space="preserve">USV / Placeholder</t>
  </si>
  <si>
    <t xml:space="preserve">USV co-founder; Placeholder venture partner</t>
  </si>
  <si>
    <t xml:space="preserve">USV thesis lineage</t>
  </si>
  <si>
    <t xml:space="preserve">Travis Scher</t>
  </si>
  <si>
    <t xml:space="preserve">Co-founder; ex-DCG VP of investments</t>
  </si>
  <si>
    <t xml:space="preserve">Podcasts and X; NIV has advertised associate roles</t>
  </si>
  <si>
    <t xml:space="preserve">Watch for a live associate seat</t>
  </si>
  <si>
    <t xml:space="preserve">James Hutchins</t>
  </si>
  <si>
    <t xml:space="preserve">Co-founder; ex-Coatue research</t>
  </si>
  <si>
    <t xml:space="preserve">Glenn Hutchins</t>
  </si>
  <si>
    <t xml:space="preserve">Chairman; Silver Lake co-founder</t>
  </si>
  <si>
    <t xml:space="preserve">Institutional gravitas; not a cold-outreach target</t>
  </si>
  <si>
    <t xml:space="preserve">Chris Burniske</t>
  </si>
  <si>
    <t xml:space="preserve">Partner; cryptoasset valuation frameworks</t>
  </si>
  <si>
    <t xml:space="preserve">Research library; podcasts - his valuation work is CVF-ready material</t>
  </si>
  <si>
    <t xml:space="preserve">Joel Monegro</t>
  </si>
  <si>
    <t xml:space="preserve">Partner; ex-USV (fat protocols thesis)</t>
  </si>
  <si>
    <t xml:space="preserve">Research library</t>
  </si>
  <si>
    <t xml:space="preserve">Mario Laul</t>
  </si>
  <si>
    <t xml:space="preserve">Head of research</t>
  </si>
  <si>
    <t xml:space="preserve">Ken Seiff</t>
  </si>
  <si>
    <t xml:space="preserve">Managing Partner; ex-Bluefly, Beanstalk</t>
  </si>
  <si>
    <t xml:space="preserve">Accessible via podcasts (The Defiant)</t>
  </si>
  <si>
    <t xml:space="preserve">Gavin Wood</t>
  </si>
  <si>
    <t xml:space="preserve">Part-time GP; Polkadot founder</t>
  </si>
  <si>
    <t xml:space="preserve">Unusual signal about the firm, not an outreach path</t>
  </si>
  <si>
    <t xml:space="preserve">Michael Steinberg</t>
  </si>
  <si>
    <t xml:space="preserve">Founder; ex-SAC/Point72 PM</t>
  </si>
  <si>
    <t xml:space="preserve">Diffusion-thesis research; partner writing</t>
  </si>
  <si>
    <t xml:space="preserve">Institutional capital-markets thesis fits your background</t>
  </si>
  <si>
    <t xml:space="preserve">Craig Burel</t>
  </si>
  <si>
    <t xml:space="preserve">Partner writing</t>
  </si>
  <si>
    <t xml:space="preserve">Matt Zhang</t>
  </si>
  <si>
    <t xml:space="preserve">Founder; ex-Citi head of structured products trading</t>
  </si>
  <si>
    <t xml:space="preserve">Institutional profile</t>
  </si>
  <si>
    <t xml:space="preserve">Structured-products lineage speaks your prime-lending language</t>
  </si>
  <si>
    <t xml:space="preserve">Chris Dixon</t>
  </si>
  <si>
    <t xml:space="preserve">Founder/lead of the crypto franchise; GP</t>
  </si>
  <si>
    <t xml:space="preserve">a16z crypto research; Crypto Startup School; State of Crypto</t>
  </si>
  <si>
    <t xml:space="preserve">COLUMBIA: BA and MA in philosophy - the single best alumni hook in the dataset</t>
  </si>
  <si>
    <t xml:space="preserve">Ali Yahya</t>
  </si>
  <si>
    <t xml:space="preserve">Research and podcast</t>
  </si>
  <si>
    <t xml:space="preserve">Guy Wuollet</t>
  </si>
  <si>
    <t xml:space="preserve">Research</t>
  </si>
  <si>
    <t xml:space="preserve">Eddy Lazzarin</t>
  </si>
  <si>
    <t xml:space="preserve">General Partner (newly promoted); CTO lineage</t>
  </si>
  <si>
    <t xml:space="preserve">Nic Carter</t>
  </si>
  <si>
    <t xml:space="preserve">Co-founder; On The Brink host</t>
  </si>
  <si>
    <t xml:space="preserve">Engage On The Brink FIRST; he backed Breed VC too</t>
  </si>
  <si>
    <t xml:space="preserve">Castle Island backed Talos and Coin Metrics: your post-close intro is built in</t>
  </si>
  <si>
    <t xml:space="preserve">Matt Walsh</t>
  </si>
  <si>
    <t xml:space="preserve">On The Brink</t>
  </si>
  <si>
    <t xml:space="preserve">Same post-close Talos angle</t>
  </si>
  <si>
    <t xml:space="preserve">Joe Lubin</t>
  </si>
  <si>
    <t xml:space="preserve">Consensys</t>
  </si>
  <si>
    <t xml:space="preserve">Founder; Ethereum co-founder</t>
  </si>
  <si>
    <t xml:space="preserve">Ecosystem events; Tachyon accelerator orbit</t>
  </si>
  <si>
    <t xml:space="preserve">Emin Gun Sirer</t>
  </si>
  <si>
    <t xml:space="preserve">Ava Labs</t>
  </si>
  <si>
    <t xml:space="preserve">Co-founder/CEO</t>
  </si>
  <si>
    <t xml:space="preserve">Avalanche ecosystem events; Blizzard Fund orbit</t>
  </si>
  <si>
    <t xml:space="preserve">Cameron &amp; Tyler Winklevoss</t>
  </si>
  <si>
    <t xml:space="preserve">Founders</t>
  </si>
  <si>
    <t xml:space="preserve">Public figures; family-office VC is the relevant arm</t>
  </si>
  <si>
    <t xml:space="preserve">Founder/CEO (Stamford)</t>
  </si>
  <si>
    <t xml:space="preserve">Metro-area; Fund V reportedly targeting $1B</t>
  </si>
  <si>
    <t xml:space="preserve">50T</t>
  </si>
  <si>
    <t xml:space="preserve">Founder (Stamford/Greenwich)</t>
  </si>
  <si>
    <t xml:space="preserve">Growth-equity crossover only</t>
  </si>
  <si>
    <t xml:space="preserve">Michael Bucella</t>
  </si>
  <si>
    <t xml:space="preserve">Co-founder; ex-BlockTower</t>
  </si>
  <si>
    <t xml:space="preserve">NYC-visible and media-active despite Miami HQ</t>
  </si>
  <si>
    <t xml:space="preserve">Ryan Watkins</t>
  </si>
  <si>
    <t xml:space="preserve">Co-founder (liquid fund, NOT venture)</t>
  </si>
  <si>
    <t xml:space="preserve">Read his research; do not pitch for VC roles</t>
  </si>
  <si>
    <t xml:space="preserve">Nathan Montone</t>
  </si>
  <si>
    <t xml:space="preserve">Founder</t>
  </si>
  <si>
    <t xml:space="preserve">Modest venture cadence; low priority</t>
  </si>
  <si>
    <t xml:space="preserve">Sep Alavi</t>
  </si>
  <si>
    <t xml:space="preserve">Managing Partner, digital assets</t>
  </si>
  <si>
    <t xml:space="preserve">Global platform; modest cadence</t>
  </si>
  <si>
    <t xml:space="preserve">Castle Island-backed; small fund</t>
  </si>
  <si>
    <t xml:space="preserve">Second-order route into the Castle Island web</t>
  </si>
  <si>
    <t xml:space="preserve">Steve McLaughlin</t>
  </si>
  <si>
    <t xml:space="preserve">Founder/CEO</t>
  </si>
  <si>
    <t xml:space="preserve">Founder-led firm: he is the hiring decision</t>
  </si>
  <si>
    <t xml:space="preserve">Eric Risley</t>
  </si>
  <si>
    <t xml:space="preserve">Founder/Managing Partner</t>
  </si>
  <si>
    <t xml:space="preserve">M&amp;A alerts; engage the research over time</t>
  </si>
  <si>
    <t xml:space="preserve">Their alerts double as your market map</t>
  </si>
  <si>
    <t xml:space="preserve">Aryeh Bourkoff</t>
  </si>
  <si>
    <t xml:space="preserve">NYC media and TMT events</t>
  </si>
  <si>
    <t xml:space="preserve">Brandon Lutnick</t>
  </si>
  <si>
    <t xml:space="preserve">Chairman-era leadership of the franchise</t>
  </si>
  <si>
    <t xml:space="preserve">Know the DAT franchise story; digital assets group is the actual door</t>
  </si>
  <si>
    <t xml:space="preserve">Arjun Sethi</t>
  </si>
  <si>
    <t xml:space="preserve">Co-CEO</t>
  </si>
  <si>
    <t xml:space="preserve">Watch strategy hires around the IPO window</t>
  </si>
  <si>
    <t xml:space="preserve">David Ripley</t>
  </si>
  <si>
    <t xml:space="preserve">Anton Katz</t>
  </si>
  <si>
    <t xml:space="preserve">CEO</t>
  </si>
  <si>
    <t xml:space="preserve">FROZEN: no contact of any kind while Project Optimus is live; warmest door after close</t>
  </si>
  <si>
    <t xml:space="preserve">Your counterparty today; your reference tomorrow</t>
  </si>
  <si>
    <t xml:space="preserve">Limited to publicly prominent, stable figures named in the Aug 2026 research and tracker; roles change fast in this market, so ALWAYS verify on LinkedIn before outreach and log the verified profile in column G. Where a firm has a platform/careers channel, lead with the firm, not the founder. The Talos and Dragonfly caution rows are non-negotiable.</t>
  </si>
  <si>
    <t xml:space="preserve">Target Profiles: Depth per Target</t>
  </si>
  <si>
    <t xml:space="preserve">HQ / Scale</t>
  </si>
  <si>
    <t xml:space="preserve">Hiring Reality</t>
  </si>
  <si>
    <t xml:space="preserve">Entry Route &amp; People</t>
  </si>
  <si>
    <t xml:space="preserve">Watch Items</t>
  </si>
  <si>
    <t xml:space="preserve">NYC HQ; boutique scale, small associate classes</t>
  </si>
  <si>
    <t xml:space="preserve">NinjaTrader (Kraken buy), Bitnomial (sell), Reap (Payward buy); Core Scientific Ch. 11 debtors and co-sell to CoreWeave</t>
  </si>
  <si>
    <t xml:space="preserve">Structured summer associate program; RSSG restructuring recruits on a separate, MBA-heavy track</t>
  </si>
  <si>
    <t xml:space="preserve">OCR plus IBC closed lists; build 2 to 3 advocates before January</t>
  </si>
  <si>
    <t xml:space="preserve">Sept to Jan</t>
  </si>
  <si>
    <t xml:space="preserve">Flow concentrates in the Payward relationship; pitch market-structure conviction, not one client. If RSSG appeals, decide early; the tracks split</t>
  </si>
  <si>
    <t xml:space="preserve">NYC HQ; largest associate class among the EBs</t>
  </si>
  <si>
    <t xml:space="preserve">Co-lead FA to Siris on the $4.2B Equiniti sale</t>
  </si>
  <si>
    <t xml:space="preserve">Structured program; best raw odds in the EB set</t>
  </si>
  <si>
    <t xml:space="preserve">Crypto exposure is episodic; the play is brand plus optionality, not thesis density</t>
  </si>
  <si>
    <t xml:space="preserve">NYC HQ</t>
  </si>
  <si>
    <t xml:space="preserve">Voyager, Genesis, BlockFi debtor mandates; Bitfarms buy-side; Core Scientific co-sell</t>
  </si>
  <si>
    <t xml:space="preserve">Structured program; restructuring and M&amp;A staffing can cross</t>
  </si>
  <si>
    <t xml:space="preserve">Tied with PJT for most mandates in the dataset; restructuring flow is the counter-cyclical hedge if crypto M&amp;A slows</t>
  </si>
  <si>
    <t xml:space="preserve">NYC HQ; tiny class</t>
  </si>
  <si>
    <t xml:space="preserve">Celsius Ch. 11 debtor banker, ~$20M fee allocation</t>
  </si>
  <si>
    <t xml:space="preserve">Most selective of the group; generalist staffing</t>
  </si>
  <si>
    <t xml:space="preserve">Lowest odds, highest per-seat prestige; crypto is incidental to the platform</t>
  </si>
  <si>
    <t xml:space="preserve">FTX debtors banker (ran LedgerX and FTX Europe sales); Celsius creditors</t>
  </si>
  <si>
    <t xml:space="preserve">Structured program</t>
  </si>
  <si>
    <t xml:space="preserve">Estate work built the crypto muscle; ask how the market-structure franchise carries forward post-FTX</t>
  </si>
  <si>
    <t xml:space="preserve">Co-FA to FTAI on the $1.5B Long Ridge sale</t>
  </si>
  <si>
    <t xml:space="preserve">Episodic crypto; portfolio filler only</t>
  </si>
  <si>
    <t xml:space="preserve">NYC and LA; restructuring powerhouse</t>
  </si>
  <si>
    <t xml:space="preserve">Genesis creditors; creditor-side across the 2022-24 bankruptcies</t>
  </si>
  <si>
    <t xml:space="preserve">Structured; corporate finance and restructuring tracks</t>
  </si>
  <si>
    <t xml:space="preserve">Creditor-side seats see crypto in downturns, not upcycles</t>
  </si>
  <si>
    <t xml:space="preserve">Fintech coverage; no disclosed crypto credits surfaced 2024-26</t>
  </si>
  <si>
    <t xml:space="preserve">Weakest crypto evidence in Tier 1; deprioritize unless networking comes cheap</t>
  </si>
  <si>
    <t xml:space="preserve">NYC HQ; full platform, larger associate class</t>
  </si>
  <si>
    <t xml:space="preserve">Three sell-sides in 15 months (NinjaTrader, Kiavi, Long Ridge) plus FTX creditors committee</t>
  </si>
  <si>
    <t xml:space="preserve">Structured program; conversion odds better than the EBs</t>
  </si>
  <si>
    <t xml:space="preserve">Best evidence-to-accessibility ratio in the formal cycle; promoted to co-lead in your portfolio</t>
  </si>
  <si>
    <t xml:space="preserve">NYC HQ; Brandon Lutnick era</t>
  </si>
  <si>
    <t xml:space="preserve">Twenty One (Tether/SoftBank), Securitize listing, Strive buy-side on Semler ($1.4B); bitcoin financing book</t>
  </si>
  <si>
    <t xml:space="preserve">Posts MBA-level roles; less structured; the digital assets group is the target</t>
  </si>
  <si>
    <t xml:space="preserve">NYC postings plus direct outreach; name the Semler mandate in the first note</t>
  </si>
  <si>
    <t xml:space="preserve">DAT derating is the franchise risk; the Strive M&amp;A mandate shows diversification beyond SPACs</t>
  </si>
  <si>
    <t xml:space="preserve">SF HQ with NYC and London offices; a few hundred bankers</t>
  </si>
  <si>
    <t xml:space="preserve">Deribit ($2.9B), Hidden Road ($1.25B), WonderFi, Equiniti co-lead; the #1 sell-side franchise</t>
  </si>
  <si>
    <t xml:space="preserve">Hires associates directly via its Greenhouse board; apprenticeship model; postings cite blockchain and crypto knowledge</t>
  </si>
  <si>
    <t xml:space="preserve">Direct application plus outreach to the crypto vertical; founder-led (Steve McLaughlin)</t>
  </si>
  <si>
    <t xml:space="preserve">Rolling; start after the IBC resume book</t>
  </si>
  <si>
    <t xml:space="preserve">Highest crypto rep density of any seat that hires; culture is famously punishing, so diligence with former juniors before committing</t>
  </si>
  <si>
    <t xml:space="preserve">NYC HQ; Stifel-owned</t>
  </si>
  <si>
    <t xml:space="preserve">Stifel advised Riot on Block Mining; KBW crypto skews research and ECM</t>
  </si>
  <si>
    <t xml:space="preserve">FIG alumni network</t>
  </si>
  <si>
    <t xml:space="preserve">Bank-crypto convergence (charters, stablecoin issuers) could re-rate this seat quickly</t>
  </si>
  <si>
    <t xml:space="preserve">NYC; founder-led (Aryeh Bourkoff)</t>
  </si>
  <si>
    <t xml:space="preserve">Exclusive sell-side to Semler on the Strive merger; Equiniti syndicate for Siris</t>
  </si>
  <si>
    <t xml:space="preserve">Semler shows real digital-asset appetite; small intake, treat as opportunistic</t>
  </si>
  <si>
    <t xml:space="preserve">NYC HQ; NASDAQ: GLXY; IB sits beside trading, asset management, and Ventures</t>
  </si>
  <si>
    <t xml:space="preserve">Bitstamp and Aplo exclusive sell-sides</t>
  </si>
  <si>
    <t xml:space="preserve">Your single best asymmetric bet: crypto-native brand, live deal flow, a ventures arm, and a lateral-shaped profile</t>
  </si>
  <si>
    <t xml:space="preserve">Palo Alto; senior-only, roughly a dozen advisors (founder Eric Risley)</t>
  </si>
  <si>
    <t xml:space="preserve">Coinme, Caleb &amp; Brown, Magic Labs; alerts cover the whole market</t>
  </si>
  <si>
    <t xml:space="preserve">No junior program</t>
  </si>
  <si>
    <t xml:space="preserve">Relationship build: engage the research, deal-adjacent intros</t>
  </si>
  <si>
    <t xml:space="preserve">Their M&amp;A alerts double as your ongoing market map; every alert names advisors</t>
  </si>
  <si>
    <t xml:space="preserve">Berlin HQ with Singapore and Dubai; founded 2022</t>
  </si>
  <si>
    <t xml:space="preserve">Self-reported 15+ mandates in 2025, $1B+ cumulative; Bulletin, ht.digital</t>
  </si>
  <si>
    <t xml:space="preserve">No formal program; small team</t>
  </si>
  <si>
    <t xml:space="preserve">Network; the Europe angle fits your London and Brazil background</t>
  </si>
  <si>
    <t xml:space="preserve">Counts are the firm's own claims; verify mandate quality in any conversation</t>
  </si>
  <si>
    <t xml:space="preserve">NYC; advisory and Broadhaven Ventures under one roof</t>
  </si>
  <si>
    <t xml:space="preserve">BitMEX sale mandate; ErisX to Cboe</t>
  </si>
  <si>
    <t xml:space="preserve">Small team, lateral</t>
  </si>
  <si>
    <t xml:space="preserve">One relationship serves both tracks</t>
  </si>
  <si>
    <t xml:space="preserve">NYC</t>
  </si>
  <si>
    <t xml:space="preserve">ProCap and Nakamoto lead FA; Stronghold sell-side</t>
  </si>
  <si>
    <t xml:space="preserve">DAT lane concentration; same derating risk as Cantor without the balance sheet</t>
  </si>
  <si>
    <t xml:space="preserve">Fort Lee, NJ (Cross River)</t>
  </si>
  <si>
    <t xml:space="preserve">Reap co-sell with Goldman Sachs (Asia)</t>
  </si>
  <si>
    <t xml:space="preserve">Speculative approach; small enough that one good conversation matters</t>
  </si>
  <si>
    <t xml:space="preserve">4 - Corp Dev</t>
  </si>
  <si>
    <t xml:space="preserve">SF HQ, remote-first; co-CEOs Arjun Sethi and David Ripley</t>
  </si>
  <si>
    <t xml:space="preserve">8+ acquisitions in 18 months (NinjaTrader, Bitnomial, Reap, Small Exchange, Magna, Magic Labs, Breakout); PJT and Jones Day outside, corp dev quarterbacking inside</t>
  </si>
  <si>
    <t xml:space="preserve">Just-in-time; tiny team; pre-IPO equity changes the comp math</t>
  </si>
  <si>
    <t xml:space="preserve">Around the IPO window</t>
  </si>
  <si>
    <t xml:space="preserve">The highest-cadence corp dev seat in crypto; your CoS and interim-CFO work is the job description</t>
  </si>
  <si>
    <t xml:space="preserve">Remote-first; corp dev and ventures are one org</t>
  </si>
  <si>
    <t xml:space="preserve">Deribit ($2.9B) plus banker-less bolt-ons: Echo, Liquifi, Iron, Spindl</t>
  </si>
  <si>
    <t xml:space="preserve">Elite in-house shop; runs structured MBA internship programs</t>
  </si>
  <si>
    <t xml:space="preserve">Fall for summer roles</t>
  </si>
  <si>
    <t xml:space="preserve">Best learning seat, hardest door; the MBA internship is the wedge</t>
  </si>
  <si>
    <t xml:space="preserve">SF and Dublin</t>
  </si>
  <si>
    <t xml:space="preserve">Bridge ($1.1B) and Privy with no bankers disclosed</t>
  </si>
  <si>
    <t xml:space="preserve">Warm intros only; payments and stablecoin thesis</t>
  </si>
  <si>
    <t xml:space="preserve">Corp dev's hardest door; treat as a two-year relationship project, not a fall application</t>
  </si>
  <si>
    <t xml:space="preserve">SF HQ with an NYC office</t>
  </si>
  <si>
    <t xml:space="preserve">Integration capacity, not sourcing, is the bottleneck; your Optimus integration work maps directly</t>
  </si>
  <si>
    <t xml:space="preserve">Purchase, NY HQ</t>
  </si>
  <si>
    <t xml:space="preserve">The most CBS-accessible corp dev door; OCR-adjacent</t>
  </si>
  <si>
    <t xml:space="preserve">TradFi comp and brand with a proven crypto mandate</t>
  </si>
  <si>
    <t xml:space="preserve">NYC HQ; CEO Anton Katz</t>
  </si>
  <si>
    <t xml:space="preserve">Cloudwall, Skolem, D3X, Coin Metrics ($100M+); principal-to-principal, Fenwick as counsel, no bankers ever disclosed</t>
  </si>
  <si>
    <t xml:space="preserve">POST-CLOSE ONLY: no networking while Project Optimus is live; afterward the warmest door available</t>
  </si>
  <si>
    <t xml:space="preserve">After close</t>
  </si>
  <si>
    <t xml:space="preserve">Their entire M&amp;A model is the skill you are demonstrating right now; discipline until signing, then move</t>
  </si>
  <si>
    <t xml:space="preserve">5 - Venture</t>
  </si>
  <si>
    <t xml:space="preserve">NYC; Fund I closed at $175M+ (Jun 2025); leads Will Nuelle and Mike Giampapa</t>
  </si>
  <si>
    <t xml:space="preserve">Thesis: stablecoins, payments, tokenization; ~30-company portfolio plan</t>
  </si>
  <si>
    <t xml:space="preserve">Small team; MBA-relevant roles rare but the platform hires</t>
  </si>
  <si>
    <t xml:space="preserve">CVF in Sept; rolling</t>
  </si>
  <si>
    <t xml:space="preserve">Their thesis is your Deal Evidence tab at the entry stage; the exit comps you built are their underwriting</t>
  </si>
  <si>
    <t xml:space="preserve">SF and remote</t>
  </si>
  <si>
    <t xml:space="preserve">Any Kraken relationship double-counts across ventures and corp dev</t>
  </si>
  <si>
    <t xml:space="preserve">Inside the Coinbase corp dev org</t>
  </si>
  <si>
    <t xml:space="preserve">Most active CVC in crypto; hundreds of portfolio companies</t>
  </si>
  <si>
    <t xml:space="preserve">Portfolio equals future M&amp;A pipeline; study it before Coinbase interviews</t>
  </si>
  <si>
    <t xml:space="preserve">Boston; founders Nic Carter and Matt Walsh</t>
  </si>
  <si>
    <t xml:space="preserve">Post-close Talos angle is a natural intro; engage the research (On The Brink) first</t>
  </si>
  <si>
    <t xml:space="preserve">The fund behind your counterparty; likely the strongest single VC relationship available to you</t>
  </si>
  <si>
    <t xml:space="preserve">NYC (founder Jake Brukhman)</t>
  </si>
  <si>
    <t xml:space="preserve">Institutional crypto VC across venture and liquid strategies</t>
  </si>
  <si>
    <t xml:space="preserve">NYC events plus CVF</t>
  </si>
  <si>
    <t xml:space="preserve">CVF in Sept</t>
  </si>
  <si>
    <t xml:space="preserve">Geography advantage: one of the few crypto funds a CBS student can see weekly</t>
  </si>
  <si>
    <t xml:space="preserve">NYC; thesis-driven</t>
  </si>
  <si>
    <t xml:space="preserve">Early Coinbase backer; crypto thesis since 2013</t>
  </si>
  <si>
    <t xml:space="preserve">Broadest thesis of the set; crypto is one lens, not the mandate</t>
  </si>
  <si>
    <t xml:space="preserve">Named individuals are limited to publicly prominent, stable figures (founders, fund leads, co-CEOs); verify current roles on LinkedIn before any outreach, and fill in group-level contacts as you meet them. Compiled Aug 21, 2026 from the conversation's deal research.</t>
  </si>
  <si>
    <t xml:space="preserve">Personal Angles: Your CV Mapped to the Target Set</t>
  </si>
  <si>
    <t xml:space="preserve">Each asset from the master CV, the one-liner that carries it, and where it lands  |  CBS Class of 2028</t>
  </si>
  <si>
    <t xml:space="preserve">Reference sheet: refine the one-liners in place as your story sharpens (yellow column F for notes).</t>
  </si>
  <si>
    <t xml:space="preserve">Asset / Experience</t>
  </si>
  <si>
    <t xml:space="preserve">The One-Liner</t>
  </si>
  <si>
    <t xml:space="preserve">Where It Lands</t>
  </si>
  <si>
    <t xml:space="preserve">How To Use It</t>
  </si>
  <si>
    <t xml:space="preserve">Cautions</t>
  </si>
  <si>
    <t xml:space="preserve">Refinements</t>
  </si>
  <si>
    <t xml:space="preserve">COR PRIME: in-house sell-side M&amp;A (live)</t>
  </si>
  <si>
    <t xml:space="preserve">I am running a sell-side process from inside the company right now: transaction model, CIM, data room, buyer Q&amp;A - with no mandated bank.</t>
  </si>
  <si>
    <t xml:space="preserve">Every IB conversation (abstracted); post-close: Talos, Castle Island, Broadhaven, Architect, FT Partners, Galaxy IB</t>
  </si>
  <si>
    <t xml:space="preserve">Until close, describe it generically ('leading an in-house strategic process at a regulated crypto prime-lending platform'). After close it becomes your headline story with names attached.</t>
  </si>
  <si>
    <t xml:space="preserve">NEVER name Project Optimus, the counterparty, or terms before signing/public disclosure. No Talos contact of any kind until close.</t>
  </si>
  <si>
    <t xml:space="preserve">ETC Group -&gt; Bitwise sale</t>
  </si>
  <si>
    <t xml:space="preserve">I prepped the sale of a $2B-AUM crypto ETP issuer and was retained by the CEO through its acquisition by Bitwise - a deal that sits in this tracker's own Deal Evidence tab (Aug 2024).</t>
  </si>
  <si>
    <t xml:space="preserve">All crypto M&amp;A conversations; VanEck Ventures (ETP house); Bitwise network; Architect Partners (they track every deal)</t>
  </si>
  <si>
    <t xml:space="preserve">You were inside one of the dataset's transactions. Use it to prove crypto M&amp;A is not a thesis for you - it is a track record.</t>
  </si>
  <si>
    <t xml:space="preserve">Only public facts: the acquisition itself is public; valuation work and internal terms are not.</t>
  </si>
  <si>
    <t xml:space="preserve">Prime brokerage / lending domain</t>
  </si>
  <si>
    <t xml:space="preserve">Loan-book economics, funding costs, net interest margin, institutional counterparties - the market-structure layer most MBAs have never touched.</t>
  </si>
  <si>
    <t xml:space="preserve">Galaxy (all arms), Ripple (Hidden Road/Ripple Prime), Fintech Collective, Reciprocal, Hivemind, North Island</t>
  </si>
  <si>
    <t xml:space="preserve">Anchor your stablecoins / market-structure thesis in operating reality, not just research.</t>
  </si>
  <si>
    <t xml:space="preserve">Brasilpar: Gol/Smiles + 10 mandates</t>
  </si>
  <si>
    <t xml:space="preserve">Executed 10+ M&amp;A mandates end-to-end at a Sao Paulo boutique, including advising Gol alongside Morgan Stanley on the take-in of its listed loyalty subsidiary.</t>
  </si>
  <si>
    <t xml:space="preserve">All Tier 1 OCR conversations; Jefferies, Evercore, Moelis; fairness-opinion story for Lazard</t>
  </si>
  <si>
    <t xml:space="preserve">This is the classic IB anchor story: public-company merger, fairness opinion, board exposure, at analyst age.</t>
  </si>
  <si>
    <t xml:space="preserve">Know the Smiles deal cold - structure, rationale, outcome - before the first coffee chat.</t>
  </si>
  <si>
    <t xml:space="preserve">ETC Group: ETP launches + tokenization build</t>
  </si>
  <si>
    <t xml:space="preserve">Launched an ETH staking ETP and an MSCI-benchmarked index ETP with regulatory approvals, and led a regulated equity-tokenization platform build.</t>
  </si>
  <si>
    <t xml:space="preserve">VanEck Ventures (perfect overlap), Figure, Circle, a16z crypto (Fund 5 tokenization thesis), Galaxy</t>
  </si>
  <si>
    <t xml:space="preserve">The tokenization thesis every 2026 fund cites - you have actually shipped against it.</t>
  </si>
  <si>
    <t xml:space="preserve">The tokenization platform was deprioritized by shareholders; frame as learning, have the 'why' ready.</t>
  </si>
  <si>
    <t xml:space="preserve">Nebula Ventures: family office principal</t>
  </si>
  <si>
    <t xml:space="preserve">Principal at a tech family office: interim COO of a portfolio company, board seat, org restructuring across five countries.</t>
  </si>
  <si>
    <t xml:space="preserve">VC platform/operating roles; corp dev (Kraken, Ripple integration angle); Portal and pre-seed funds (founder empathy)</t>
  </si>
  <si>
    <t xml:space="preserve">Proves you can be dropped into a company and run it - the corp dev integration and VC platform skillset.</t>
  </si>
  <si>
    <t xml:space="preserve">Quant digital-asset trading venture</t>
  </si>
  <si>
    <t xml:space="preserve">Co-founded a quantitative digital-asset trading venture (2024-present).</t>
  </si>
  <si>
    <t xml:space="preserve">Market-structure conversations; liquid-adjacent funds (CoinFund, Dragonfly, Hivemind); Syncracy research chats</t>
  </si>
  <si>
    <t xml:space="preserve">Signals market-native credibility; pairs with the Duke DeFi and INSEAD blockchain certifications.</t>
  </si>
  <si>
    <t xml:space="preserve">Be ready for sharp questions on strategy and PnL; do not overclaim scale.</t>
  </si>
  <si>
    <t xml:space="preserve">Brazil / LatAm + Portuguese</t>
  </si>
  <si>
    <t xml:space="preserve">Native Portuguese, Sao Paulo M&amp;A training, dual-market fluency.</t>
  </si>
  <si>
    <t xml:space="preserve">Valor Capital (US-Brazil crossover); any fund discussing LatAm rails; the Tether/Adecoagro tender is a ready conversation piece</t>
  </si>
  <si>
    <t xml:space="preserve">Differentiated in NYC; almost no crypto-VC associates carry real LatAm execution experience.</t>
  </si>
  <si>
    <t xml:space="preserve">London / Europe network</t>
  </si>
  <si>
    <t xml:space="preserve">Four years operating in London crypto: ETC Group, Blockspace, COR PRIME, Deus X Capital orbit.</t>
  </si>
  <si>
    <t xml:space="preserve">Areta, Aream &amp; Co, White Star DAF, KBW convergence plays; European LP and market-maker relationships</t>
  </si>
  <si>
    <t xml:space="preserve">Second geography of warm intros; useful for Europe-weighted mandates and funds.</t>
  </si>
  <si>
    <t xml:space="preserve">US citizen, no sponsorship</t>
  </si>
  <si>
    <t xml:space="preserve">US citizen; no visa sponsorship required.</t>
  </si>
  <si>
    <t xml:space="preserve">Everywhere - state it early with small firms</t>
  </si>
  <si>
    <t xml:space="preserve">Removes the #1 friction small firms have with international-profile candidates. Put it on every application.</t>
  </si>
  <si>
    <t xml:space="preserve">Certifications + writing surface</t>
  </si>
  <si>
    <t xml:space="preserve">Duke DeFi Specialization; INSEAD Blockchain, Cryptoassets &amp; DeFi.</t>
  </si>
  <si>
    <t xml:space="preserve">Writing-first funds (Variant, USV, Portal); CVF application material</t>
  </si>
  <si>
    <t xml:space="preserve">Feed these into written outreach - the funds that reward writing are on your Stage 1 list.</t>
  </si>
  <si>
    <t xml:space="preserve">Certs support the story; they are not the story.</t>
  </si>
  <si>
    <t xml:space="preserve">Crypto-community fundraising (FIP cats)</t>
  </si>
  <si>
    <t xml:space="preserve">Founded a crypto-community initiative that financed FIP treatment for 50+ cats in Brazil.</t>
  </si>
  <si>
    <t xml:space="preserve">Any conversation that needs a human moment; consumer-crypto funds (6MV)</t>
  </si>
  <si>
    <t xml:space="preserve">Memorable, verifiable, and community-native - exactly the texture cold outreach usually lacks.</t>
  </si>
  <si>
    <t xml:space="preserve">CBS platform</t>
  </si>
  <si>
    <t xml:space="preserve">CBS Class of 2028; IBC + Fintech Club from day one; CVF opens ~Aug 28; gm3308@gsb.columbia.edu.</t>
  </si>
  <si>
    <t xml:space="preserve">Chris Dixon (Columbia BA/MA) is the marquee alumni hook; CVF is the VC-lane vehicle; CMC portal for OCR</t>
  </si>
  <si>
    <t xml:space="preserve">Work the Timeline tab: club fair first week, EIS sessions in Sept, IBC resume book Sept-Oct.</t>
  </si>
  <si>
    <t xml:space="preserve">Keep the VC endgame out of Tier 1 IB conversations (see VC Targets footer).</t>
  </si>
  <si>
    <t xml:space="preserve">Assets drawn from George_CV_Master.docx (Jul 2026). Bracketed [X] figures in the CV must be finalized before any line here is used live. Confidentiality rules: no Project Optimus references before signing; only public facts on the ETC Group/Bitwise transaction; abstract the COR PRIME process until close.</t>
  </si>
  <si>
    <t xml:space="preserve">Advisor League Table: Disclosed Crypto M&amp;A Mandates, Jan 2024 to Aug 2026</t>
  </si>
  <si>
    <t xml:space="preserve">Sell-side</t>
  </si>
  <si>
    <t xml:space="preserve">Buy-side</t>
  </si>
  <si>
    <t xml:space="preserve">Rx / DAT</t>
  </si>
  <si>
    <t xml:space="preserve">Total</t>
  </si>
  <si>
    <t xml:space="preserve">Marquee mandates</t>
  </si>
  <si>
    <t xml:space="preserve">Read</t>
  </si>
  <si>
    <t xml:space="preserve">4</t>
  </si>
  <si>
    <t xml:space="preserve">Deribit, Hidden Road, WonderFi, Equiniti (co-lead)</t>
  </si>
  <si>
    <t xml:space="preserve">#1 sell-side franchise; on nearly every marquee exit</t>
  </si>
  <si>
    <t xml:space="preserve">5</t>
  </si>
  <si>
    <t xml:space="preserve">NinjaTrader + Reap (buy); Bitnomial + Core Scientific (sell); Core Scientific Ch. 11</t>
  </si>
  <si>
    <t xml:space="preserve">Payward engine plus restructuring depth</t>
  </si>
  <si>
    <t xml:space="preserve">Voyager, Genesis, BlockFi debtors; Bitfarms buy; Core Scientific co-sell</t>
  </si>
  <si>
    <t xml:space="preserve">Restructuring franchise leader plus miner M&amp;A</t>
  </si>
  <si>
    <t xml:space="preserve">NinjaTrader, Kiavi, Long Ridge sell-sides; FTX creditors committee</t>
  </si>
  <si>
    <t xml:space="preserve">Steadiest all-rounder; easiest structured seat to win</t>
  </si>
  <si>
    <t xml:space="preserve">3</t>
  </si>
  <si>
    <t xml:space="preserve">Twenty One, Securitize; buy-side FA to Strive on Semler ($1.4B)</t>
  </si>
  <si>
    <t xml:space="preserve">DAT co-leader, now with a real M&amp;A mandate</t>
  </si>
  <si>
    <t xml:space="preserve">3+</t>
  </si>
  <si>
    <t xml:space="preserve">Coinme, Caleb &amp; Brown, Magic Labs</t>
  </si>
  <si>
    <t xml:space="preserve">The mid-market crypto-native franchise</t>
  </si>
  <si>
    <t xml:space="preserve">Stronghold sell; ProCap and Nakamoto lead FA</t>
  </si>
  <si>
    <t xml:space="preserve">DAT lane co-leader</t>
  </si>
  <si>
    <t xml:space="preserve">Galaxy Digital Partners</t>
  </si>
  <si>
    <t xml:space="preserve">2</t>
  </si>
  <si>
    <t xml:space="preserve">Bitstamp, Aplo (both exclusive sell-sides)</t>
  </si>
  <si>
    <t xml:space="preserve">Crypto-native platform converting to real sell-sides</t>
  </si>
  <si>
    <t xml:space="preserve">Semler sell-side (exclusive); Equiniti syndicate seat</t>
  </si>
  <si>
    <t xml:space="preserve">Semler upgrades it from syndicate seat to lead credit</t>
  </si>
  <si>
    <t xml:space="preserve">FTX debtors, Celsius creditors</t>
  </si>
  <si>
    <t xml:space="preserve">Restructuring credibility on the biggest estates</t>
  </si>
  <si>
    <t xml:space="preserve">15+ (self)</t>
  </si>
  <si>
    <t xml:space="preserve">Bulletin sell; Bridgepoint/ht.digital buy</t>
  </si>
  <si>
    <t xml:space="preserve">Emerging; Europe-weighted, smaller tickets; count is the firm's own claim</t>
  </si>
  <si>
    <t xml:space="preserve">1</t>
  </si>
  <si>
    <t xml:space="preserve">Equiniti co-lead for Siris</t>
  </si>
  <si>
    <t xml:space="preserve">Real but episodic</t>
  </si>
  <si>
    <t xml:space="preserve">FTAI/Long Ridge co-sell</t>
  </si>
  <si>
    <t xml:space="preserve">Episodic</t>
  </si>
  <si>
    <t xml:space="preserve">Celsius debtors (~$20M fee allocation)</t>
  </si>
  <si>
    <t xml:space="preserve">Restructuring one-off, big fee</t>
  </si>
  <si>
    <t xml:space="preserve">Genesis creditors</t>
  </si>
  <si>
    <t xml:space="preserve">Creditor-side</t>
  </si>
  <si>
    <t xml:space="preserve">MARA/Long Ridge co-buy with Barclays</t>
  </si>
  <si>
    <t xml:space="preserve">Research shop with a real FA credit</t>
  </si>
  <si>
    <t xml:space="preserve">Lincoln International</t>
  </si>
  <si>
    <t xml:space="preserve">GRIID sell-side FA and fairness opinion (CleanSpark)</t>
  </si>
  <si>
    <t xml:space="preserve">Mid-market generalist with a mining credit</t>
  </si>
  <si>
    <t xml:space="preserve">BitMEX sale mandate</t>
  </si>
  <si>
    <t xml:space="preserve">Specialist; process under way</t>
  </si>
  <si>
    <t xml:space="preserve">Reap co-sell with Goldman Asia</t>
  </si>
  <si>
    <t xml:space="preserve">New entrant</t>
  </si>
  <si>
    <t xml:space="preserve">Stifel (KBW)</t>
  </si>
  <si>
    <t xml:space="preserve">Riot/Block Mining buy</t>
  </si>
  <si>
    <t xml:space="preserve">Crypto work skews research and ECM</t>
  </si>
  <si>
    <t xml:space="preserve">XMS Capital</t>
  </si>
  <si>
    <t xml:space="preserve">Block Mining sell</t>
  </si>
  <si>
    <t xml:space="preserve">One-off</t>
  </si>
  <si>
    <t xml:space="preserve">BB reference:</t>
  </si>
  <si>
    <t xml:space="preserve">Goldman Sachs</t>
  </si>
  <si>
    <t xml:space="preserve">GTreasury, Reap-Asia (sell); CoreWeave, Bullish, NEOS (buy)</t>
  </si>
  <si>
    <t xml:space="preserve">Biggest tickets; crypto a subset of a huge platform</t>
  </si>
  <si>
    <t xml:space="preserve">Barclays</t>
  </si>
  <si>
    <t xml:space="preserve">NEOS (sell); Bitstamp, Kiavi, Long Ridge (buy) plus bridge financing</t>
  </si>
  <si>
    <t xml:space="preserve">Most active BB by a wide margin</t>
  </si>
  <si>
    <t xml:space="preserve">JPMorgan</t>
  </si>
  <si>
    <t xml:space="preserve">Adecoagro sell-side (Tether tender); Robinhood/WonderFi buy</t>
  </si>
  <si>
    <t xml:space="preserve">Two credits, both notable</t>
  </si>
  <si>
    <t xml:space="preserve">Citigroup</t>
  </si>
  <si>
    <t xml:space="preserve">Securitize FA and co-placement</t>
  </si>
  <si>
    <t xml:space="preserve">DAT entry</t>
  </si>
  <si>
    <t xml:space="preserve">Counts reflect disclosed financial advisor mandates only (announced Jan 2024 to Aug 2026), per press releases, firm tombstones, SEC filings, and deal research through Aug 21, 2026. Rx / DAT column combines restructuring and treasury/de-SPAC mandates. Undisclosed-advisor deals (Stripe/Bridge, Mastercard/BVNK, Talos/Coin Metrics, SBI/bitbank, and most sub-$100M deals) are excluded, so boutique counts understate true activity.</t>
  </si>
  <si>
    <t xml:space="preserve">Deal Evidence: Advisor Attributions by Transaction</t>
  </si>
  <si>
    <t xml:space="preserve">Announced</t>
  </si>
  <si>
    <t xml:space="preserve">Acquirer / Situation</t>
  </si>
  <si>
    <t xml:space="preserve">Target / Company</t>
  </si>
  <si>
    <t xml:space="preserve">Value</t>
  </si>
  <si>
    <t xml:space="preserve">Sell-side / Debtor FA</t>
  </si>
  <si>
    <t xml:space="preserve">Buy-side / Creditor FA</t>
  </si>
  <si>
    <t xml:space="preserve">Legal / Notes</t>
  </si>
  <si>
    <t xml:space="preserve">Apr 2024</t>
  </si>
  <si>
    <t xml:space="preserve">Strategic</t>
  </si>
  <si>
    <t xml:space="preserve">Cloudwall</t>
  </si>
  <si>
    <t xml:space="preserve">Undisclosed</t>
  </si>
  <si>
    <t xml:space="preserve">Risk management bolt-on</t>
  </si>
  <si>
    <t xml:space="preserve">May 2024</t>
  </si>
  <si>
    <t xml:space="preserve">Skolem</t>
  </si>
  <si>
    <t xml:space="preserve">Institutional DeFi infrastructure bolt-on</t>
  </si>
  <si>
    <t xml:space="preserve">Jun 2024</t>
  </si>
  <si>
    <t xml:space="preserve">Bitstamp</t>
  </si>
  <si>
    <t xml:space="preserve">$200M</t>
  </si>
  <si>
    <t xml:space="preserve">Galaxy Digital Partners (excl.)</t>
  </si>
  <si>
    <t xml:space="preserve">Barclays (excl.)</t>
  </si>
  <si>
    <t xml:space="preserve">Closed Jun 2025</t>
  </si>
  <si>
    <t xml:space="preserve">CleanSpark</t>
  </si>
  <si>
    <t xml:space="preserve">GRIID Infrastructure</t>
  </si>
  <si>
    <t xml:space="preserve">$155M EV</t>
  </si>
  <si>
    <t xml:space="preserve">Lincoln International (FA + fairness)</t>
  </si>
  <si>
    <t xml:space="preserve">Cozen O'Connor (CleanSpark); Troutman Pepper (GRIID); closed Oct 2024</t>
  </si>
  <si>
    <t xml:space="preserve">Jul 2024</t>
  </si>
  <si>
    <t xml:space="preserve">Riot Platforms</t>
  </si>
  <si>
    <t xml:space="preserve">Block Mining</t>
  </si>
  <si>
    <t xml:space="preserve">$92.5M</t>
  </si>
  <si>
    <t xml:space="preserve">XMS Capital (excl.)</t>
  </si>
  <si>
    <t xml:space="preserve">Stifel (excl.)</t>
  </si>
  <si>
    <t xml:space="preserve">Greenberg Traurig (Riot); Winston &amp; Strawn (Block Mining)</t>
  </si>
  <si>
    <t xml:space="preserve">Aug 2024</t>
  </si>
  <si>
    <t xml:space="preserve">Bitfarms</t>
  </si>
  <si>
    <t xml:space="preserve">Stronghold Digital</t>
  </si>
  <si>
    <t xml:space="preserve">$125M</t>
  </si>
  <si>
    <t xml:space="preserve">Bitwise</t>
  </si>
  <si>
    <t xml:space="preserve">ETC Group</t>
  </si>
  <si>
    <t xml:space="preserve">Latham (Bitwise); US-Europe ETP consolidation</t>
  </si>
  <si>
    <t xml:space="preserve">Bridge</t>
  </si>
  <si>
    <t xml:space="preserve">$1.1B</t>
  </si>
  <si>
    <t xml:space="preserve">Wilson Sonsini (Stripe); largely relationship-driven</t>
  </si>
  <si>
    <t xml:space="preserve">Mar 2025</t>
  </si>
  <si>
    <t xml:space="preserve">Kraken (Payward)</t>
  </si>
  <si>
    <t xml:space="preserve">NinjaTrader</t>
  </si>
  <si>
    <t xml:space="preserve">$1.5B</t>
  </si>
  <si>
    <t xml:space="preserve">Jones Day, Lowenstein (Kraken); Choate, Katten (NinjaTrader)</t>
  </si>
  <si>
    <t xml:space="preserve">Tether</t>
  </si>
  <si>
    <t xml:space="preserve">Adecoagro (~70%)</t>
  </si>
  <si>
    <t xml:space="preserve">~$615.5M tender</t>
  </si>
  <si>
    <t xml:space="preserve">JPMorgan (excl.)</t>
  </si>
  <si>
    <t xml:space="preserve">Davis Polk, Elvinger Hoss (Adecoagro); McDermott (Tether); closed Apr 2025</t>
  </si>
  <si>
    <t xml:space="preserve">Apr 2025</t>
  </si>
  <si>
    <t xml:space="preserve">Hidden Road</t>
  </si>
  <si>
    <t xml:space="preserve">$1.25B</t>
  </si>
  <si>
    <t xml:space="preserve">Closed Oct 2025; rebranded Ripple Prime</t>
  </si>
  <si>
    <t xml:space="preserve">May 2025</t>
  </si>
  <si>
    <t xml:space="preserve">Deribit</t>
  </si>
  <si>
    <t xml:space="preserve">$2.9B ($3.9-4.3B at close)</t>
  </si>
  <si>
    <t xml:space="preserve">Latham (Coinbase); Willkie (Deribit)</t>
  </si>
  <si>
    <t xml:space="preserve">WonderFi</t>
  </si>
  <si>
    <t xml:space="preserve">C$250M</t>
  </si>
  <si>
    <t xml:space="preserve">Closed Jun 2026</t>
  </si>
  <si>
    <t xml:space="preserve">Jul 2025</t>
  </si>
  <si>
    <t xml:space="preserve">CoreWeave</t>
  </si>
  <si>
    <t xml:space="preserve">Core Scientific</t>
  </si>
  <si>
    <t xml:space="preserve">$9B</t>
  </si>
  <si>
    <t xml:space="preserve">Moelis + PJT Partners</t>
  </si>
  <si>
    <t xml:space="preserve">Wachtell (Core Sci); Davis Polk, Kirkland (CoreWeave)</t>
  </si>
  <si>
    <t xml:space="preserve">Coin Metrics</t>
  </si>
  <si>
    <t xml:space="preserve">$100M+</t>
  </si>
  <si>
    <t xml:space="preserve">Fenwick (Talos); direct CEO-to-CEO process per Fortune</t>
  </si>
  <si>
    <t xml:space="preserve">Aug 2025</t>
  </si>
  <si>
    <t xml:space="preserve">Rail</t>
  </si>
  <si>
    <t xml:space="preserve">Sep 2025</t>
  </si>
  <si>
    <t xml:space="preserve">Coincheck</t>
  </si>
  <si>
    <t xml:space="preserve">Aplo</t>
  </si>
  <si>
    <t xml:space="preserve">Stock-for-stock; completed Oct 2025</t>
  </si>
  <si>
    <t xml:space="preserve">Oct 2025</t>
  </si>
  <si>
    <t xml:space="preserve">GTreasury</t>
  </si>
  <si>
    <t xml:space="preserve">$1B</t>
  </si>
  <si>
    <t xml:space="preserve">Goldman Sachs (excl., for Hg)</t>
  </si>
  <si>
    <t xml:space="preserve">Morrison Foerster (Hg); Gunderson Dettmer (Ripple)</t>
  </si>
  <si>
    <t xml:space="preserve">Echo</t>
  </si>
  <si>
    <t xml:space="preserve">$375M</t>
  </si>
  <si>
    <t xml:space="preserve">Latham (Coinbase)</t>
  </si>
  <si>
    <t xml:space="preserve">Small Exchange</t>
  </si>
  <si>
    <t xml:space="preserve">$100M</t>
  </si>
  <si>
    <t xml:space="preserve">Jan 2026</t>
  </si>
  <si>
    <t xml:space="preserve">Polygon Labs</t>
  </si>
  <si>
    <t xml:space="preserve">Coinme + Sequence</t>
  </si>
  <si>
    <t xml:space="preserve">~$250M combined</t>
  </si>
  <si>
    <t xml:space="preserve">Architect Partners (Coinme, excl.)</t>
  </si>
  <si>
    <t xml:space="preserve">Feb 2026</t>
  </si>
  <si>
    <t xml:space="preserve">Payward</t>
  </si>
  <si>
    <t xml:space="preserve">Magna</t>
  </si>
  <si>
    <t xml:space="preserve">Mar 2026</t>
  </si>
  <si>
    <t xml:space="preserve">BVNK</t>
  </si>
  <si>
    <t xml:space="preserve">Up to $1.8B</t>
  </si>
  <si>
    <t xml:space="preserve">Skadden (BVNK); Wilson Sonsini (Mastercard, privacy); closed Aug 3, 2026</t>
  </si>
  <si>
    <t xml:space="preserve">Apr 2026</t>
  </si>
  <si>
    <t xml:space="preserve">BC Payments (Australia)</t>
  </si>
  <si>
    <t xml:space="preserve">License-driven</t>
  </si>
  <si>
    <t xml:space="preserve">Bitnomial</t>
  </si>
  <si>
    <t xml:space="preserve">Up to $550M</t>
  </si>
  <si>
    <t xml:space="preserve">PJT Partners (excl.)</t>
  </si>
  <si>
    <t xml:space="preserve">Haynes Boone, Katten (Bitnomial); Jones Day, Morrison Foerster (Payward); closed May 1</t>
  </si>
  <si>
    <t xml:space="preserve">MARA</t>
  </si>
  <si>
    <t xml:space="preserve">Long Ridge (FTAI)</t>
  </si>
  <si>
    <t xml:space="preserve">Jefferies + Lazard</t>
  </si>
  <si>
    <t xml:space="preserve">Barclays + Compass Point</t>
  </si>
  <si>
    <t xml:space="preserve">Paul Weiss, Sidley (MARA); Skadden (FTAI); Barclays bridge loan</t>
  </si>
  <si>
    <t xml:space="preserve">May 2026</t>
  </si>
  <si>
    <t xml:space="preserve">Bullish</t>
  </si>
  <si>
    <t xml:space="preserve">Equiniti (Siris)</t>
  </si>
  <si>
    <t xml:space="preserve">$4.2B</t>
  </si>
  <si>
    <t xml:space="preserve">Evercore + FT Partners (leads); Wells Fargo, LionTree</t>
  </si>
  <si>
    <t xml:space="preserve">Goldman Sachs (excl.)</t>
  </si>
  <si>
    <t xml:space="preserve">Morgan Lewis, A&amp;M (Bullish); Sidley (Siris)</t>
  </si>
  <si>
    <t xml:space="preserve">Reap</t>
  </si>
  <si>
    <t xml:space="preserve">Up to $600M</t>
  </si>
  <si>
    <t xml:space="preserve">CRB Securities + Goldman Sachs (Asia)</t>
  </si>
  <si>
    <t xml:space="preserve">Latham (Reap); Jones Day, Drew &amp; Napier (Payward); closed Jul 1</t>
  </si>
  <si>
    <t xml:space="preserve">Standard Chartered</t>
  </si>
  <si>
    <t xml:space="preserve">Zodia Custody</t>
  </si>
  <si>
    <t xml:space="preserve">Minority buyout; close targeted end Aug 2026</t>
  </si>
  <si>
    <t xml:space="preserve">Jun 2026</t>
  </si>
  <si>
    <t xml:space="preserve">Kiavi</t>
  </si>
  <si>
    <t xml:space="preserve">$717M</t>
  </si>
  <si>
    <t xml:space="preserve">Barclays (excl., Figure/Sixth Street)</t>
  </si>
  <si>
    <t xml:space="preserve">Latham (Figure); Wilson Sonsini (Kiavi); Simpson Thacher (financing)</t>
  </si>
  <si>
    <t xml:space="preserve">SBI Holdings</t>
  </si>
  <si>
    <t xml:space="preserve">bitbank</t>
  </si>
  <si>
    <t xml:space="preserve">$289M</t>
  </si>
  <si>
    <t xml:space="preserve">Close expected ~Oct 2026</t>
  </si>
  <si>
    <t xml:space="preserve">Jul 2026</t>
  </si>
  <si>
    <t xml:space="preserve">Mirae Asset</t>
  </si>
  <si>
    <t xml:space="preserve">Korbit</t>
  </si>
  <si>
    <t xml:space="preserve">$91.5M</t>
  </si>
  <si>
    <t xml:space="preserve">Completed Jul 2026</t>
  </si>
  <si>
    <t xml:space="preserve">Magic Labs (wallet biz)</t>
  </si>
  <si>
    <t xml:space="preserve">Architect Partners (excl.)</t>
  </si>
  <si>
    <t xml:space="preserve">Aug 2026</t>
  </si>
  <si>
    <t xml:space="preserve">OpenFX</t>
  </si>
  <si>
    <t xml:space="preserve">Global Ledger</t>
  </si>
  <si>
    <t xml:space="preserve">Adjacent</t>
  </si>
  <si>
    <t xml:space="preserve">NEOS Investments</t>
  </si>
  <si>
    <t xml:space="preserve">Up to $2.25B</t>
  </si>
  <si>
    <t xml:space="preserve">GS Global Banking &amp; Markets</t>
  </si>
  <si>
    <t xml:space="preserve">Wachtell, Willkie (GS); Ropes &amp; Gray (NEOS); crypto-adjacent ETF deal</t>
  </si>
  <si>
    <t xml:space="preserve">Jan 2024</t>
  </si>
  <si>
    <t xml:space="preserve">Restructuring</t>
  </si>
  <si>
    <t xml:space="preserve">Ch. 11 emergence</t>
  </si>
  <si>
    <t xml:space="preserve">PJT Partners (debtors)</t>
  </si>
  <si>
    <t xml:space="preserve">Weil, AlixPartners</t>
  </si>
  <si>
    <t xml:space="preserve">Celsius</t>
  </si>
  <si>
    <t xml:space="preserve">Centerview (debtors)</t>
  </si>
  <si>
    <t xml:space="preserve">Perella Weinberg (creditors)</t>
  </si>
  <si>
    <t xml:space="preserve">Kirkland, A&amp;M; ~$20.1M Centerview fee allocation</t>
  </si>
  <si>
    <t xml:space="preserve">Plan completed</t>
  </si>
  <si>
    <t xml:space="preserve">Genesis Global</t>
  </si>
  <si>
    <t xml:space="preserve">Moelis (debtors)</t>
  </si>
  <si>
    <t xml:space="preserve">Houlihan Lokey (creditors)</t>
  </si>
  <si>
    <t xml:space="preserve">Cleary, A&amp;M; White &amp; Case</t>
  </si>
  <si>
    <t xml:space="preserve">Plan confirmed</t>
  </si>
  <si>
    <t xml:space="preserve">FTX</t>
  </si>
  <si>
    <t xml:space="preserve">Perella Weinberg (debtors)</t>
  </si>
  <si>
    <t xml:space="preserve">Jefferies (creditors)</t>
  </si>
  <si>
    <t xml:space="preserve">Sullivan &amp; Cromwell, A&amp;M; Paul Hastings, FTI</t>
  </si>
  <si>
    <t xml:space="preserve">2023-24</t>
  </si>
  <si>
    <t xml:space="preserve">Wind-down</t>
  </si>
  <si>
    <t xml:space="preserve">Voyager Digital</t>
  </si>
  <si>
    <t xml:space="preserve">Kirkland, BRG</t>
  </si>
  <si>
    <t xml:space="preserve">BlockFi</t>
  </si>
  <si>
    <t xml:space="preserve">Kirkland, Haynes Boone, BRG</t>
  </si>
  <si>
    <t xml:space="preserve">DAT / de-SPAC</t>
  </si>
  <si>
    <t xml:space="preserve">Cantor Equity Partners</t>
  </si>
  <si>
    <t xml:space="preserve">Twenty One Capital</t>
  </si>
  <si>
    <t xml:space="preserve">Cantor Fitzgerald (FA + placement)</t>
  </si>
  <si>
    <t xml:space="preserve">Skadden (Twenty One, Tether); NYSE: XXI Dec 2025</t>
  </si>
  <si>
    <t xml:space="preserve">Jun 2025</t>
  </si>
  <si>
    <t xml:space="preserve">Columbus Circle Capital I</t>
  </si>
  <si>
    <t xml:space="preserve">ProCap BTC</t>
  </si>
  <si>
    <t xml:space="preserve">~$1B</t>
  </si>
  <si>
    <t xml:space="preserve">Cohen &amp; Co CM (excl. FA; co-placement with Clear Street)</t>
  </si>
  <si>
    <t xml:space="preserve">Reed Smith; Ellenoff Grossman</t>
  </si>
  <si>
    <t xml:space="preserve">2025</t>
  </si>
  <si>
    <t xml:space="preserve">KindlyMD</t>
  </si>
  <si>
    <t xml:space="preserve">Nakamoto</t>
  </si>
  <si>
    <t xml:space="preserve">~$710M</t>
  </si>
  <si>
    <t xml:space="preserve">Cohen &amp; Co CM (lead FA + placement); 10X Capital</t>
  </si>
  <si>
    <t xml:space="preserve">Reed Smith (Nakamoto)</t>
  </si>
  <si>
    <t xml:space="preserve">Strive</t>
  </si>
  <si>
    <t xml:space="preserve">Semler Scientific</t>
  </si>
  <si>
    <t xml:space="preserve">~$1.4B all-stock</t>
  </si>
  <si>
    <t xml:space="preserve">LionTree (excl.)</t>
  </si>
  <si>
    <t xml:space="preserve">Davis Polk (Strive); Goodwin (Semler); first DAT stock-for-stock merger; closed Jan 2026</t>
  </si>
  <si>
    <t xml:space="preserve">Cantor Equity Partners II</t>
  </si>
  <si>
    <t xml:space="preserve">Securitize</t>
  </si>
  <si>
    <t xml:space="preserve">$1.25B pre-money</t>
  </si>
  <si>
    <t xml:space="preserve">Citi (Securitize)</t>
  </si>
  <si>
    <t xml:space="preserve">Cantor Fitzgerald (CEPT)</t>
  </si>
  <si>
    <t xml:space="preserve">Davis Polk; Hughes Hubbard; NYSE: SECZ Jul 2026</t>
  </si>
  <si>
    <t xml:space="preserve">Attributions from company press releases, law firm and bank announcements, SEC filings, and Architect Partners M&amp;A alerts. 'Not disclosed' means no public advisor attribution was found, not that no advisor was engaged. Restructuring engagements originated 2022-23 but concluded in the window shown.</t>
  </si>
  <si>
    <t xml:space="preserve">Engagement Feed: Content, Events, and CBS Actions</t>
  </si>
  <si>
    <t xml:space="preserve">Every hook named in the Aug 2026 research, plus the CBS-cycle actions from the Timeline tab  |  Engage BEFORE you reach out</t>
  </si>
  <si>
    <t xml:space="preserve">Fill in the yellow columns (G to H) as you subscribe, register, and attend.</t>
  </si>
  <si>
    <t xml:space="preserve">Source / Event</t>
  </si>
  <si>
    <t xml:space="preserve">Host / Firm</t>
  </si>
  <si>
    <t xml:space="preserve">Cadence / When</t>
  </si>
  <si>
    <t xml:space="preserve">Why It Matters / Action</t>
  </si>
  <si>
    <t xml:space="preserve">Done?</t>
  </si>
  <si>
    <t xml:space="preserve">CBS club fair - join IBC + Fintech Club</t>
  </si>
  <si>
    <t xml:space="preserve">CBS action</t>
  </si>
  <si>
    <t xml:space="preserve">Columbia Business School</t>
  </si>
  <si>
    <t xml:space="preserve">Aug 24 - early Sept</t>
  </si>
  <si>
    <t xml:space="preserve">Join both clubs immediately; get CMC portal access and pull the OCR employer roster against the Master Targets tab</t>
  </si>
  <si>
    <t xml:space="preserve">Now</t>
  </si>
  <si>
    <t xml:space="preserve">Columbia Venture Fellows (CVF)</t>
  </si>
  <si>
    <t xml:space="preserve">Columbia</t>
  </si>
  <si>
    <t xml:space="preserve">Opens ~Aug 28</t>
  </si>
  <si>
    <t xml:space="preserve">The VC-lane vehicle; Galaxy Ventures, CoinFund, and USV are flagged CVF-compatible</t>
  </si>
  <si>
    <t xml:space="preserve">IBC prep program + resume book</t>
  </si>
  <si>
    <t xml:space="preserve">CBS Investment Banking Club</t>
  </si>
  <si>
    <t xml:space="preserve">Sept-Oct</t>
  </si>
  <si>
    <t xml:space="preserve">Submit to the resume book; lock the FIG/fintech story tied to your deal experience</t>
  </si>
  <si>
    <t xml:space="preserve">Employer information sessions</t>
  </si>
  <si>
    <t xml:space="preserve">Tier 1 firms via CMC</t>
  </si>
  <si>
    <t xml:space="preserve">From Sept</t>
  </si>
  <si>
    <t xml:space="preserve">Attend every Tier 1 session; log contacts in the lane tabs the same day</t>
  </si>
  <si>
    <t xml:space="preserve">Architect Partners M&amp;A alerts</t>
  </si>
  <si>
    <t xml:space="preserve">Newsletter</t>
  </si>
  <si>
    <t xml:space="preserve">Per-deal</t>
  </si>
  <si>
    <t xml:space="preserve">Your ongoing market map: every alert names the advisors - feeds the Deal Evidence and League Table tabs</t>
  </si>
  <si>
    <t xml:space="preserve">Fintech Collective newsletter</t>
  </si>
  <si>
    <t xml:space="preserve">Recurring</t>
  </si>
  <si>
    <t xml:space="preserve">The stablecoins/payments canon ('The Dollar's New Avatar', 'Stablecoins Take the Lead'); reference it in outreach</t>
  </si>
  <si>
    <t xml:space="preserve">Galaxy Research</t>
  </si>
  <si>
    <t xml:space="preserve">Galaxy</t>
  </si>
  <si>
    <t xml:space="preserve">Underpins the best NYC stablecoins/market-structure conversation; read before any Galaxy touchpoint</t>
  </si>
  <si>
    <t xml:space="preserve">Variant thesis essays</t>
  </si>
  <si>
    <t xml:space="preserve">Per-essay</t>
  </si>
  <si>
    <t xml:space="preserve">Writing-first outreach: respond to a live essay, don't cold-email</t>
  </si>
  <si>
    <t xml:space="preserve">Weekly</t>
  </si>
  <si>
    <t xml:space="preserve">USV thesis blog + AVC (Fred Wilson)</t>
  </si>
  <si>
    <t xml:space="preserve">Blog</t>
  </si>
  <si>
    <t xml:space="preserve">They reward writing; CVF plus a thoughtful written note is the entry</t>
  </si>
  <si>
    <t xml:space="preserve">a16z crypto research + State of Crypto</t>
  </si>
  <si>
    <t xml:space="preserve">Recurring + annual</t>
  </si>
  <si>
    <t xml:space="preserve">Fund 5 thesis language (stablecoins, tokenization, perp futures, prediction markets, AI agents); Dixon is the Columbia hook</t>
  </si>
  <si>
    <t xml:space="preserve">Placeholder research library</t>
  </si>
  <si>
    <t xml:space="preserve">Archive</t>
  </si>
  <si>
    <t xml:space="preserve">Burniske's cryptoasset valuation frameworks are CVF-grade material</t>
  </si>
  <si>
    <t xml:space="preserve">Monthly</t>
  </si>
  <si>
    <t xml:space="preserve">Portal Ventures / Evan Fisher writing</t>
  </si>
  <si>
    <t xml:space="preserve">Fundamentals-driven framing; the most MBA-legible fund voice in the set</t>
  </si>
  <si>
    <t xml:space="preserve">Syncracy research (Ryan Watkins)</t>
  </si>
  <si>
    <t xml:space="preserve">Liquid fund, not a VC target - but the research is flagged worth reading</t>
  </si>
  <si>
    <t xml:space="preserve">Archebyte</t>
  </si>
  <si>
    <t xml:space="preserve">Podcast</t>
  </si>
  <si>
    <t xml:space="preserve">Archetype (Ash Egan)</t>
  </si>
  <si>
    <t xml:space="preserve">Archetype's front door; pairs with their NYC in-person events</t>
  </si>
  <si>
    <t xml:space="preserve">The Chopping Block</t>
  </si>
  <si>
    <t xml:space="preserve">Dragonfly (Haseeb Qureshi)</t>
  </si>
  <si>
    <t xml:space="preserve">Dragonfly's public voice; RWA/stablecoin pivot commentary</t>
  </si>
  <si>
    <t xml:space="preserve">Layer One</t>
  </si>
  <si>
    <t xml:space="preserve">Their own podcast; complements the newsletter</t>
  </si>
  <si>
    <t xml:space="preserve">Castle Island (Nic Carter)</t>
  </si>
  <si>
    <t xml:space="preserve">Engage BEFORE the post-close Talos intro; the tracker's explicit instruction</t>
  </si>
  <si>
    <t xml:space="preserve">The Defiant (Ken Seiff appearances)</t>
  </si>
  <si>
    <t xml:space="preserve">Blockchange via The Defiant</t>
  </si>
  <si>
    <t xml:space="preserve">Occasional</t>
  </si>
  <si>
    <t xml:space="preserve">Seiff is flagged accessible via podcast appearances</t>
  </si>
  <si>
    <t xml:space="preserve">CoinFund research + podcast</t>
  </si>
  <si>
    <t xml:space="preserve">Market-structure focus; engage before NYC events</t>
  </si>
  <si>
    <t xml:space="preserve">North Island / Travis Scher podcasts</t>
  </si>
  <si>
    <t xml:space="preserve">Scher is public; NIV has advertised associate roles - watch openings</t>
  </si>
  <si>
    <t xml:space="preserve">Stablecon</t>
  </si>
  <si>
    <t xml:space="preserve">Conference</t>
  </si>
  <si>
    <t xml:space="preserve">NYC stablecoin conference (Fintech Collective-adjacent)</t>
  </si>
  <si>
    <t xml:space="preserve">Confirm 2026-27 dates</t>
  </si>
  <si>
    <t xml:space="preserve">THE stablecoins/payments room in NYC; highest thesis-fit event on the list</t>
  </si>
  <si>
    <t xml:space="preserve">Consensus / Permissionless (NYC editions)</t>
  </si>
  <si>
    <t xml:space="preserve">Industry</t>
  </si>
  <si>
    <t xml:space="preserve">Confirm dates</t>
  </si>
  <si>
    <t xml:space="preserve">Attend when in NYC per the research's recommendation</t>
  </si>
  <si>
    <t xml:space="preserve">Breakpoint</t>
  </si>
  <si>
    <t xml:space="preserve">Solana ecosystem</t>
  </si>
  <si>
    <t xml:space="preserve">Dudas (6MV) keynotes here; the Solana-weighted funds' room</t>
  </si>
  <si>
    <t xml:space="preserve">Archetype NYC events</t>
  </si>
  <si>
    <t xml:space="preserve">Events</t>
  </si>
  <si>
    <t xml:space="preserve">Explicit engagement hook: RSVP culture, in-person</t>
  </si>
  <si>
    <t xml:space="preserve">Consensys Tachyon / ecosystem events</t>
  </si>
  <si>
    <t xml:space="preserve">Consensys Mesh</t>
  </si>
  <si>
    <t xml:space="preserve">Brooklyn ecosystem surface; lower priority</t>
  </si>
  <si>
    <t xml:space="preserve">Hooks as named in the Aug 2026 research; CBS-cycle actions from the Timeline tab. Confirm 2026-27 conference dates when registration opens, and exact CBS dates on the CMC portal after orientation. Rule of thumb from the research: subscribe and engage BEFORE reaching out.</t>
  </si>
  <si>
    <t xml:space="preserve">CBS Recruiting Cycle: Key Windows (Class of 2028)</t>
  </si>
  <si>
    <t xml:space="preserve">Window</t>
  </si>
  <si>
    <t xml:space="preserve">What Happens</t>
  </si>
  <si>
    <t xml:space="preserve">Your Moves</t>
  </si>
  <si>
    <t xml:space="preserve">Aug 24 to early Sept 2026</t>
  </si>
  <si>
    <t xml:space="preserve">Orientation; club fair</t>
  </si>
  <si>
    <t xml:space="preserve">Join the Investment Banking Club and Fintech Club immediately; get CMC portal access and pull the current OCR employer roster against the Targets tab</t>
  </si>
  <si>
    <t xml:space="preserve">Sept 2026</t>
  </si>
  <si>
    <t xml:space="preserve">Employer information sessions begin</t>
  </si>
  <si>
    <t xml:space="preserve">Attend every Tier 1 session; log contacts in the tracker the same day</t>
  </si>
  <si>
    <t xml:space="preserve">Sept to Oct 2026</t>
  </si>
  <si>
    <t xml:space="preserve">IBC prep program; resume book deadline</t>
  </si>
  <si>
    <t xml:space="preserve">Submit your resume to the IBC book; lock the FIG / fintech story and tie it to your deal experience</t>
  </si>
  <si>
    <t xml:space="preserve">Oct to Nov 2026</t>
  </si>
  <si>
    <t xml:space="preserve">Coffee chats, firm dinners, networking events</t>
  </si>
  <si>
    <t xml:space="preserve">Target 2 to 3 contacts per Tier 1 firm; start Tier 2 direct outreach in parallel</t>
  </si>
  <si>
    <t xml:space="preserve">Dec 2026</t>
  </si>
  <si>
    <t xml:space="preserve">Closed-list invitations; resume drops open</t>
  </si>
  <si>
    <t xml:space="preserve">Apply through the CMC portal; prioritize firms where you have multiple advocates</t>
  </si>
  <si>
    <t xml:space="preserve">Jan 2027</t>
  </si>
  <si>
    <t xml:space="preserve">Summer associate interviews (typically mid to late January)</t>
  </si>
  <si>
    <t xml:space="preserve">IBC mock interviews; technicals should be automatic before the holidays end</t>
  </si>
  <si>
    <t xml:space="preserve">Feb 2027</t>
  </si>
  <si>
    <t xml:space="preserve">Offers and decisions</t>
  </si>
  <si>
    <t xml:space="preserve">Close your summer seat; keep Tier 2 and Tier 3 threads warm</t>
  </si>
  <si>
    <t xml:space="preserve">Mar to May 2027</t>
  </si>
  <si>
    <t xml:space="preserve">Off-cycle and just-in-time hiring at boutiques</t>
  </si>
  <si>
    <t xml:space="preserve">Push Tier 3 conversations; crypto-native firms hire when deals land</t>
  </si>
  <si>
    <t xml:space="preserve">Summer 2027</t>
  </si>
  <si>
    <t xml:space="preserve">Summer associate internship</t>
  </si>
  <si>
    <t xml:space="preserve">Convert; the return offer is the whole game</t>
  </si>
  <si>
    <t xml:space="preserve">Fall 2027</t>
  </si>
  <si>
    <t xml:space="preserve">Full-time conversion and off-cycle moves</t>
  </si>
  <si>
    <t xml:space="preserve">If pivoting to a crypto-native firm for full time, this is the window</t>
  </si>
  <si>
    <t xml:space="preserve">Windows reflect the typical CBS IB cycle; confirm exact 2026-27 dates on the CMC portal after orientation.</t>
  </si>
</sst>
</file>

<file path=xl/styles.xml><?xml version="1.0" encoding="utf-8"?>
<styleSheet xmlns="http://schemas.openxmlformats.org/spreadsheetml/2006/main">
  <numFmts count="4">
    <numFmt numFmtId="164" formatCode="General"/>
    <numFmt numFmtId="165" formatCode="General"/>
    <numFmt numFmtId="166" formatCode="yyyy\-mm\-dd;@"/>
    <numFmt numFmtId="167" formatCode="mm/dd/yyyy"/>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0"/>
      <color rgb="FF808080"/>
      <name val="Arial"/>
      <family val="0"/>
      <charset val="1"/>
    </font>
    <font>
      <sz val="9"/>
      <color rgb="FF808080"/>
      <name val="Arial"/>
      <family val="0"/>
      <charset val="1"/>
    </font>
    <font>
      <b val="true"/>
      <sz val="10"/>
      <color rgb="FF1F3864"/>
      <name val="Arial"/>
      <family val="0"/>
      <charset val="1"/>
    </font>
    <font>
      <b val="true"/>
      <sz val="10"/>
      <color rgb="FFFFFFFF"/>
      <name val="Arial"/>
      <family val="0"/>
      <charset val="1"/>
    </font>
    <font>
      <b val="true"/>
      <sz val="10"/>
      <name val="Arial"/>
      <family val="0"/>
      <charset val="1"/>
    </font>
    <font>
      <sz val="10"/>
      <name val="Arial"/>
      <family val="0"/>
      <charset val="1"/>
    </font>
    <font>
      <i val="true"/>
      <sz val="10"/>
      <color rgb="FF808080"/>
      <name val="Arial"/>
      <family val="0"/>
      <charset val="1"/>
    </font>
    <font>
      <i val="true"/>
      <sz val="9"/>
      <color rgb="FF808080"/>
      <name val="Arial"/>
      <family val="0"/>
      <charset val="1"/>
    </font>
    <font>
      <b val="true"/>
      <sz val="9"/>
      <name val="Arial"/>
      <family val="0"/>
      <charset val="1"/>
    </font>
    <font>
      <b val="true"/>
      <sz val="9"/>
      <color rgb="FF1F3864"/>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FF7E0"/>
        <bgColor rgb="FFF5EFE6"/>
      </patternFill>
    </fill>
    <fill>
      <patternFill patternType="solid">
        <fgColor rgb="FFEAF1F8"/>
        <bgColor rgb="FFF2F2F2"/>
      </patternFill>
    </fill>
    <fill>
      <patternFill patternType="solid">
        <fgColor rgb="FFF5EFE6"/>
        <bgColor rgb="FFF2F2F2"/>
      </patternFill>
    </fill>
    <fill>
      <patternFill patternType="solid">
        <fgColor rgb="FFE7F0E4"/>
        <bgColor rgb="FFE2EFDA"/>
      </patternFill>
    </fill>
    <fill>
      <patternFill patternType="solid">
        <fgColor rgb="FFECE6F2"/>
        <bgColor rgb="FFE9E4F0"/>
      </patternFill>
    </fill>
    <fill>
      <patternFill patternType="solid">
        <fgColor rgb="FFE9E4F0"/>
        <bgColor rgb="FFECE6F2"/>
      </patternFill>
    </fill>
    <fill>
      <patternFill patternType="solid">
        <fgColor rgb="FFF2F2F2"/>
        <bgColor rgb="FFF5EFE6"/>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right" vertical="bottom" textRotation="0" wrapText="false" indent="0" shrinkToFit="false"/>
      <protection locked="true" hidden="false"/>
    </xf>
    <xf numFmtId="165" fontId="14" fillId="0" borderId="0" xfId="0" applyFont="true" applyBorder="false" applyAlignment="true" applyProtection="false">
      <alignment horizontal="left" vertical="bottom" textRotation="0" wrapText="fals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center" vertical="top" textRotation="0" wrapText="true" indent="0" shrinkToFit="false"/>
      <protection locked="true" hidden="false"/>
    </xf>
    <xf numFmtId="164" fontId="11" fillId="3" borderId="2" xfId="0" applyFont="true" applyBorder="true" applyAlignment="true" applyProtection="false">
      <alignment horizontal="center" vertical="top" textRotation="0" wrapText="true" indent="0" shrinkToFit="false"/>
      <protection locked="true" hidden="false"/>
    </xf>
    <xf numFmtId="164" fontId="11" fillId="3" borderId="2" xfId="0" applyFont="true" applyBorder="true" applyAlignment="true" applyProtection="false">
      <alignment horizontal="general" vertical="top" textRotation="0" wrapText="true" indent="0" shrinkToFit="false"/>
      <protection locked="true" hidden="false"/>
    </xf>
    <xf numFmtId="167" fontId="11" fillId="3" borderId="2" xfId="0" applyFont="true" applyBorder="true" applyAlignment="true" applyProtection="false">
      <alignment horizontal="center"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center" vertical="top"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0" fillId="3" borderId="2" xfId="0" applyFont="true" applyBorder="true" applyAlignment="true" applyProtection="false">
      <alignment horizontal="center" vertical="top" textRotation="0" wrapText="true" indent="0" shrinkToFit="false"/>
      <protection locked="true" hidden="false"/>
    </xf>
    <xf numFmtId="164" fontId="10" fillId="3" borderId="2" xfId="0" applyFont="true" applyBorder="true" applyAlignment="true" applyProtection="false">
      <alignment horizontal="general" vertical="top" textRotation="0" wrapText="true" indent="0" shrinkToFit="false"/>
      <protection locked="true" hidden="false"/>
    </xf>
    <xf numFmtId="167" fontId="10" fillId="3" borderId="2" xfId="0" applyFont="true" applyBorder="true" applyAlignment="true" applyProtection="false">
      <alignment horizontal="center" vertical="top" textRotation="0" wrapText="tru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10" fillId="4" borderId="2" xfId="0" applyFont="true" applyBorder="true" applyAlignment="true" applyProtection="false">
      <alignment horizontal="center" vertical="top" textRotation="0" wrapText="tru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9" fillId="5" borderId="2" xfId="0" applyFont="true" applyBorder="true" applyAlignment="true" applyProtection="false">
      <alignment horizontal="general" vertical="top" textRotation="0" wrapText="true" indent="0" shrinkToFit="false"/>
      <protection locked="true" hidden="false"/>
    </xf>
    <xf numFmtId="164" fontId="10" fillId="5" borderId="2" xfId="0" applyFont="true" applyBorder="true" applyAlignment="true" applyProtection="false">
      <alignment horizontal="center" vertical="top" textRotation="0" wrapText="true" indent="0" shrinkToFit="false"/>
      <protection locked="true" hidden="false"/>
    </xf>
    <xf numFmtId="164" fontId="10" fillId="5"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9" fillId="6" borderId="2" xfId="0" applyFont="true" applyBorder="true" applyAlignment="true" applyProtection="false">
      <alignment horizontal="general" vertical="top" textRotation="0" wrapText="true" indent="0" shrinkToFit="false"/>
      <protection locked="true" hidden="false"/>
    </xf>
    <xf numFmtId="164" fontId="10" fillId="6" borderId="2" xfId="0" applyFont="true" applyBorder="true" applyAlignment="true" applyProtection="false">
      <alignment horizontal="center" vertical="top" textRotation="0" wrapText="true" indent="0" shrinkToFit="false"/>
      <protection locked="true" hidden="false"/>
    </xf>
    <xf numFmtId="164" fontId="10" fillId="6" borderId="2" xfId="0" applyFont="true" applyBorder="true" applyAlignment="true" applyProtection="false">
      <alignment horizontal="general" vertical="top" textRotation="0" wrapText="true" indent="0" shrinkToFit="false"/>
      <protection locked="true" hidden="false"/>
    </xf>
    <xf numFmtId="164" fontId="9" fillId="7" borderId="2" xfId="0" applyFont="true" applyBorder="true" applyAlignment="true" applyProtection="false">
      <alignment horizontal="general" vertical="top" textRotation="0" wrapText="true" indent="0" shrinkToFit="false"/>
      <protection locked="true" hidden="false"/>
    </xf>
    <xf numFmtId="164" fontId="10" fillId="7" borderId="2" xfId="0" applyFont="true" applyBorder="true" applyAlignment="true" applyProtection="false">
      <alignment horizontal="center" vertical="top" textRotation="0" wrapText="true" indent="0" shrinkToFit="false"/>
      <protection locked="true" hidden="false"/>
    </xf>
    <xf numFmtId="164" fontId="10" fillId="7" borderId="2" xfId="0" applyFont="true" applyBorder="true" applyAlignment="true" applyProtection="false">
      <alignment horizontal="general" vertical="top" textRotation="0" wrapText="true" indent="0" shrinkToFit="false"/>
      <protection locked="true" hidden="false"/>
    </xf>
    <xf numFmtId="164" fontId="9" fillId="8"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center" vertical="top" textRotation="0" wrapText="true" indent="0" shrinkToFit="false"/>
      <protection locked="true" hidden="false"/>
    </xf>
    <xf numFmtId="164" fontId="9" fillId="9" borderId="2" xfId="0" applyFont="true" applyBorder="true" applyAlignment="true" applyProtection="false">
      <alignment horizontal="general" vertical="top" textRotation="0" wrapText="true" indent="0" shrinkToFit="false"/>
      <protection locked="true" hidden="false"/>
    </xf>
    <xf numFmtId="164" fontId="10" fillId="9" borderId="2" xfId="0" applyFont="true" applyBorder="true" applyAlignment="true" applyProtection="false">
      <alignment horizontal="general" vertical="top" textRotation="0" wrapText="true" indent="0" shrinkToFit="false"/>
      <protection locked="true" hidden="false"/>
    </xf>
    <xf numFmtId="164" fontId="10" fillId="9" borderId="2" xfId="0" applyFont="true" applyBorder="true" applyAlignment="true" applyProtection="false">
      <alignment horizontal="center"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6" fontId="10" fillId="3" borderId="1" xfId="0" applyFont="true" applyBorder="true" applyAlignment="true" applyProtection="false">
      <alignment horizontal="general" vertical="top" textRotation="0" wrapText="true" indent="0" shrinkToFit="false"/>
      <protection locked="true" hidden="false"/>
    </xf>
    <xf numFmtId="164" fontId="8" fillId="2" borderId="2"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fgColor rgb="FFEAF1F8"/>
          <bgColor rgb="FF000000"/>
        </patternFill>
      </fill>
    </dxf>
    <dxf>
      <fill>
        <patternFill patternType="solid">
          <fgColor rgb="FFF5EFE6"/>
          <bgColor rgb="FF000000"/>
        </patternFill>
      </fill>
    </dxf>
    <dxf>
      <fill>
        <patternFill patternType="solid">
          <bgColor rgb="FF000000"/>
        </patternFill>
      </fill>
    </dxf>
    <dxf>
      <fill>
        <patternFill patternType="solid">
          <fgColor rgb="FF808080"/>
          <bgColor rgb="FF000000"/>
        </patternFill>
      </fill>
    </dxf>
    <dxf>
      <fill>
        <patternFill patternType="solid">
          <fgColor rgb="FFFFFFFF"/>
          <bgColor rgb="FF000000"/>
        </patternFill>
      </fill>
    </dxf>
    <dxf>
      <fill>
        <patternFill patternType="solid">
          <fgColor rgb="FFFFF7E0"/>
          <bgColor rgb="FF000000"/>
        </patternFill>
      </fill>
    </dxf>
    <dxf>
      <fill>
        <patternFill>
          <bgColor rgb="FFC6EFCE"/>
        </patternFill>
      </fill>
    </dxf>
    <dxf>
      <fill>
        <patternFill>
          <bgColor rgb="FFE2EFDA"/>
        </patternFill>
      </fill>
    </dxf>
    <dxf>
      <fill>
        <patternFill>
          <bgColor rgb="FFFCE4D6"/>
        </patternFill>
      </fill>
    </dxf>
    <dxf>
      <fill>
        <patternFill>
          <bgColor rgb="FFD9D9D9"/>
        </patternFill>
      </fill>
    </dxf>
    <dxf>
      <fill>
        <patternFill patternType="solid">
          <fgColor rgb="FFE7F0E4"/>
          <bgColor rgb="FF000000"/>
        </patternFill>
      </fill>
    </dxf>
    <dxf>
      <fill>
        <patternFill patternType="solid">
          <fgColor rgb="FFECE6F2"/>
          <bgColor rgb="FF000000"/>
        </patternFill>
      </fill>
    </dxf>
    <dxf>
      <fill>
        <patternFill patternType="solid">
          <fgColor rgb="FFE9E4F0"/>
          <bgColor rgb="FF000000"/>
        </patternFill>
      </fill>
    </dxf>
    <dxf>
      <fill>
        <patternFill patternType="solid">
          <fgColor rgb="FFF2F2F2"/>
          <bgColor rgb="FF000000"/>
        </patternFill>
      </fill>
    </dxf>
  </dxfs>
  <colors>
    <indexedColors>
      <rgbColor rgb="FF000000"/>
      <rgbColor rgb="FFFFFFFF"/>
      <rgbColor rgb="FFC00000"/>
      <rgbColor rgb="FF00FF00"/>
      <rgbColor rgb="FF0000FF"/>
      <rgbColor rgb="FFF2F2F2"/>
      <rgbColor rgb="FFFF00FF"/>
      <rgbColor rgb="FF00FFFF"/>
      <rgbColor rgb="FF800000"/>
      <rgbColor rgb="FF008000"/>
      <rgbColor rgb="FF000080"/>
      <rgbColor rgb="FF548235"/>
      <rgbColor rgb="FF800080"/>
      <rgbColor rgb="FF008080"/>
      <rgbColor rgb="FFD9D9D9"/>
      <rgbColor rgb="FF808080"/>
      <rgbColor rgb="FF8EAADB"/>
      <rgbColor rgb="FF993366"/>
      <rgbColor rgb="FFFFF7E0"/>
      <rgbColor rgb="FFEAF1F8"/>
      <rgbColor rgb="FF660066"/>
      <rgbColor rgb="FFFF8080"/>
      <rgbColor rgb="FF2E75B6"/>
      <rgbColor rgb="FFD0D0D0"/>
      <rgbColor rgb="FF000080"/>
      <rgbColor rgb="FFFF00FF"/>
      <rgbColor rgb="FFFFFF00"/>
      <rgbColor rgb="FF00FFFF"/>
      <rgbColor rgb="FF800080"/>
      <rgbColor rgb="FF800000"/>
      <rgbColor rgb="FF008080"/>
      <rgbColor rgb="FF0000FF"/>
      <rgbColor rgb="FF00CCFF"/>
      <rgbColor rgb="FFE7F0E4"/>
      <rgbColor rgb="FFC6EFCE"/>
      <rgbColor rgb="FFF5EFE6"/>
      <rgbColor rgb="FFE9E4F0"/>
      <rgbColor rgb="FFECE6F2"/>
      <rgbColor rgb="FFE2EFDA"/>
      <rgbColor rgb="FFFCE4D6"/>
      <rgbColor rgb="FF4472C4"/>
      <rgbColor rgb="FF33CCCC"/>
      <rgbColor rgb="FF99CC00"/>
      <rgbColor rgb="FFFFCC00"/>
      <rgbColor rgb="FFBF8F00"/>
      <rgbColor rgb="FFD16E00"/>
      <rgbColor rgb="FF5B4B8A"/>
      <rgbColor rgb="FF8E7CC3"/>
      <rgbColor rgb="FF1F3864"/>
      <rgbColor rgb="FF3B7D6E"/>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14"/>
    <col collapsed="false" customWidth="true" hidden="false" outlineLevel="0" max="4" min="4" style="0" width="18"/>
    <col collapsed="false" customWidth="true" hidden="false" outlineLevel="0" max="5" min="5" style="0" width="46"/>
    <col collapsed="false" customWidth="true" hidden="false" outlineLevel="0" max="6" min="6" style="0" width="34"/>
    <col collapsed="false" customWidth="true" hidden="false" outlineLevel="0" max="7" min="7" style="0" width="16"/>
    <col collapsed="false" customWidth="true" hidden="false" outlineLevel="0" max="8" min="8" style="0" width="36"/>
    <col collapsed="false" customWidth="true" hidden="false" outlineLevel="0" max="9" min="9" style="0" width="10"/>
    <col collapsed="false" customWidth="true" hidden="false" outlineLevel="0" max="10" min="10" style="0" width="15"/>
    <col collapsed="false" customWidth="true" hidden="false" outlineLevel="0" max="11" min="11" style="0" width="26"/>
    <col collapsed="false" customWidth="true" hidden="false" outlineLevel="0" max="12" min="12" style="0" width="13"/>
  </cols>
  <sheetData>
    <row r="1" customFormat="false" ht="24" hidden="false" customHeight="true" outlineLevel="0" collapsed="false">
      <c r="A1" s="1" t="s">
        <v>0</v>
      </c>
    </row>
    <row r="2" customFormat="false" ht="15.75" hidden="false" customHeight="true" outlineLevel="0" collapsed="false">
      <c r="A2" s="2" t="s">
        <v>1</v>
      </c>
    </row>
    <row r="3" customFormat="false" ht="13.5" hidden="false" customHeight="true" outlineLevel="0" collapsed="false">
      <c r="A3" s="3" t="s">
        <v>2</v>
      </c>
      <c r="G3" s="4" t="s">
        <v>3</v>
      </c>
      <c r="H3" s="5" t="n">
        <f aca="false">COUNTA($A$6:$A$52)</f>
        <v>47</v>
      </c>
      <c r="I3" s="4" t="s">
        <v>4</v>
      </c>
      <c r="J3" s="5" t="n">
        <f aca="false">COUNTIF($I$6:$I$52,"High")</f>
        <v>0</v>
      </c>
      <c r="K3" s="4" t="s">
        <v>5</v>
      </c>
      <c r="L3" s="5" t="n">
        <f aca="false">SUMPRODUCT(--($J$6:$J$52&lt;&gt;""))-COUNTIF($J$6:$J$52,"Not started")-COUNTIF($J$6:$J$52,"Pass")</f>
        <v>0</v>
      </c>
    </row>
    <row r="4" customFormat="false" ht="6" hidden="false" customHeight="true" outlineLevel="0" collapsed="false"/>
    <row r="5" customFormat="false" ht="27.75" hidden="false" customHeight="true" outlineLevel="0" collapsed="false">
      <c r="A5" s="6" t="s">
        <v>6</v>
      </c>
      <c r="B5" s="6" t="s">
        <v>7</v>
      </c>
      <c r="C5" s="6" t="s">
        <v>8</v>
      </c>
      <c r="D5" s="6" t="s">
        <v>9</v>
      </c>
      <c r="E5" s="6" t="s">
        <v>10</v>
      </c>
      <c r="F5" s="6" t="s">
        <v>11</v>
      </c>
      <c r="G5" s="6" t="s">
        <v>12</v>
      </c>
      <c r="H5" s="6" t="s">
        <v>13</v>
      </c>
      <c r="I5" s="6" t="s">
        <v>14</v>
      </c>
      <c r="J5" s="6" t="s">
        <v>15</v>
      </c>
      <c r="K5" s="6" t="s">
        <v>16</v>
      </c>
      <c r="L5" s="6" t="s">
        <v>17</v>
      </c>
    </row>
    <row r="6" customFormat="false" ht="23.85" hidden="false" customHeight="false" outlineLevel="0" collapsed="false">
      <c r="A6" s="7" t="s">
        <v>18</v>
      </c>
      <c r="B6" s="8" t="s">
        <v>19</v>
      </c>
      <c r="C6" s="8" t="s">
        <v>20</v>
      </c>
      <c r="D6" s="8" t="s">
        <v>21</v>
      </c>
      <c r="E6" s="8" t="s">
        <v>22</v>
      </c>
      <c r="F6" s="8" t="s">
        <v>23</v>
      </c>
      <c r="G6" s="8" t="s">
        <v>24</v>
      </c>
      <c r="H6" s="8" t="s">
        <v>25</v>
      </c>
      <c r="I6" s="8" t="str">
        <f aca="false">IF('IB Targets'!F7="","",'IB Targets'!F7)</f>
        <v/>
      </c>
      <c r="J6" s="8" t="str">
        <f aca="false">IF('IB Targets'!G7="","",'IB Targets'!G7)</f>
        <v/>
      </c>
      <c r="K6" s="8" t="str">
        <f aca="false">IF('IB Targets'!K7="","",'IB Targets'!K7)</f>
        <v/>
      </c>
      <c r="L6" s="9" t="str">
        <f aca="false">IF('IB Targets'!L7="","",'IB Targets'!L7)</f>
        <v/>
      </c>
    </row>
    <row r="7" customFormat="false" ht="23.85" hidden="false" customHeight="false" outlineLevel="0" collapsed="false">
      <c r="A7" s="7" t="s">
        <v>26</v>
      </c>
      <c r="B7" s="8" t="s">
        <v>19</v>
      </c>
      <c r="C7" s="8" t="s">
        <v>20</v>
      </c>
      <c r="D7" s="8" t="s">
        <v>21</v>
      </c>
      <c r="E7" s="8" t="s">
        <v>27</v>
      </c>
      <c r="F7" s="8" t="s">
        <v>28</v>
      </c>
      <c r="G7" s="8" t="s">
        <v>24</v>
      </c>
      <c r="H7" s="8" t="s">
        <v>29</v>
      </c>
      <c r="I7" s="8" t="str">
        <f aca="false">IF('IB Targets'!F8="","",'IB Targets'!F8)</f>
        <v/>
      </c>
      <c r="J7" s="8" t="str">
        <f aca="false">IF('IB Targets'!G8="","",'IB Targets'!G8)</f>
        <v/>
      </c>
      <c r="K7" s="8" t="str">
        <f aca="false">IF('IB Targets'!K8="","",'IB Targets'!K8)</f>
        <v/>
      </c>
      <c r="L7" s="9" t="str">
        <f aca="false">IF('IB Targets'!L8="","",'IB Targets'!L8)</f>
        <v/>
      </c>
    </row>
    <row r="8" customFormat="false" ht="23.85" hidden="false" customHeight="false" outlineLevel="0" collapsed="false">
      <c r="A8" s="7" t="s">
        <v>30</v>
      </c>
      <c r="B8" s="8" t="s">
        <v>19</v>
      </c>
      <c r="C8" s="8" t="s">
        <v>20</v>
      </c>
      <c r="D8" s="8" t="s">
        <v>21</v>
      </c>
      <c r="E8" s="8" t="s">
        <v>31</v>
      </c>
      <c r="F8" s="8" t="s">
        <v>32</v>
      </c>
      <c r="G8" s="8" t="s">
        <v>24</v>
      </c>
      <c r="H8" s="8" t="s">
        <v>33</v>
      </c>
      <c r="I8" s="8" t="str">
        <f aca="false">IF('IB Targets'!F9="","",'IB Targets'!F9)</f>
        <v/>
      </c>
      <c r="J8" s="8" t="str">
        <f aca="false">IF('IB Targets'!G9="","",'IB Targets'!G9)</f>
        <v/>
      </c>
      <c r="K8" s="8" t="str">
        <f aca="false">IF('IB Targets'!K9="","",'IB Targets'!K9)</f>
        <v/>
      </c>
      <c r="L8" s="9" t="str">
        <f aca="false">IF('IB Targets'!L9="","",'IB Targets'!L9)</f>
        <v/>
      </c>
    </row>
    <row r="9" customFormat="false" ht="23.85" hidden="false" customHeight="false" outlineLevel="0" collapsed="false">
      <c r="A9" s="7" t="s">
        <v>34</v>
      </c>
      <c r="B9" s="8" t="s">
        <v>19</v>
      </c>
      <c r="C9" s="8" t="s">
        <v>20</v>
      </c>
      <c r="D9" s="8" t="s">
        <v>21</v>
      </c>
      <c r="E9" s="8" t="s">
        <v>35</v>
      </c>
      <c r="F9" s="8" t="s">
        <v>36</v>
      </c>
      <c r="G9" s="8" t="s">
        <v>24</v>
      </c>
      <c r="H9" s="8" t="s">
        <v>37</v>
      </c>
      <c r="I9" s="8" t="str">
        <f aca="false">IF('IB Targets'!F10="","",'IB Targets'!F10)</f>
        <v/>
      </c>
      <c r="J9" s="8" t="str">
        <f aca="false">IF('IB Targets'!G10="","",'IB Targets'!G10)</f>
        <v/>
      </c>
      <c r="K9" s="8" t="str">
        <f aca="false">IF('IB Targets'!K10="","",'IB Targets'!K10)</f>
        <v/>
      </c>
      <c r="L9" s="9" t="str">
        <f aca="false">IF('IB Targets'!L10="","",'IB Targets'!L10)</f>
        <v/>
      </c>
    </row>
    <row r="10" customFormat="false" ht="23.85" hidden="false" customHeight="false" outlineLevel="0" collapsed="false">
      <c r="A10" s="7" t="s">
        <v>38</v>
      </c>
      <c r="B10" s="8" t="s">
        <v>19</v>
      </c>
      <c r="C10" s="8" t="s">
        <v>20</v>
      </c>
      <c r="D10" s="8" t="s">
        <v>21</v>
      </c>
      <c r="E10" s="8" t="s">
        <v>39</v>
      </c>
      <c r="F10" s="8" t="s">
        <v>36</v>
      </c>
      <c r="G10" s="8" t="s">
        <v>24</v>
      </c>
      <c r="H10" s="8" t="s">
        <v>40</v>
      </c>
      <c r="I10" s="8" t="str">
        <f aca="false">IF('IB Targets'!F11="","",'IB Targets'!F11)</f>
        <v/>
      </c>
      <c r="J10" s="8" t="str">
        <f aca="false">IF('IB Targets'!G11="","",'IB Targets'!G11)</f>
        <v/>
      </c>
      <c r="K10" s="8" t="str">
        <f aca="false">IF('IB Targets'!K11="","",'IB Targets'!K11)</f>
        <v/>
      </c>
      <c r="L10" s="9" t="str">
        <f aca="false">IF('IB Targets'!L11="","",'IB Targets'!L11)</f>
        <v/>
      </c>
    </row>
    <row r="11" customFormat="false" ht="15" hidden="false" customHeight="false" outlineLevel="0" collapsed="false">
      <c r="A11" s="7" t="s">
        <v>41</v>
      </c>
      <c r="B11" s="8" t="s">
        <v>19</v>
      </c>
      <c r="C11" s="8" t="s">
        <v>20</v>
      </c>
      <c r="D11" s="8" t="s">
        <v>21</v>
      </c>
      <c r="E11" s="8" t="s">
        <v>42</v>
      </c>
      <c r="F11" s="8" t="s">
        <v>36</v>
      </c>
      <c r="G11" s="8" t="s">
        <v>24</v>
      </c>
      <c r="H11" s="8" t="s">
        <v>37</v>
      </c>
      <c r="I11" s="8" t="str">
        <f aca="false">IF('IB Targets'!F12="","",'IB Targets'!F12)</f>
        <v/>
      </c>
      <c r="J11" s="8" t="str">
        <f aca="false">IF('IB Targets'!G12="","",'IB Targets'!G12)</f>
        <v/>
      </c>
      <c r="K11" s="8" t="str">
        <f aca="false">IF('IB Targets'!K12="","",'IB Targets'!K12)</f>
        <v/>
      </c>
      <c r="L11" s="9" t="str">
        <f aca="false">IF('IB Targets'!L12="","",'IB Targets'!L12)</f>
        <v/>
      </c>
    </row>
    <row r="12" customFormat="false" ht="23.85" hidden="false" customHeight="false" outlineLevel="0" collapsed="false">
      <c r="A12" s="7" t="s">
        <v>43</v>
      </c>
      <c r="B12" s="8" t="s">
        <v>19</v>
      </c>
      <c r="C12" s="8" t="s">
        <v>20</v>
      </c>
      <c r="D12" s="8" t="s">
        <v>44</v>
      </c>
      <c r="E12" s="8" t="s">
        <v>45</v>
      </c>
      <c r="F12" s="8" t="s">
        <v>46</v>
      </c>
      <c r="G12" s="8" t="s">
        <v>24</v>
      </c>
      <c r="H12" s="8" t="s">
        <v>37</v>
      </c>
      <c r="I12" s="8" t="str">
        <f aca="false">IF('IB Targets'!F13="","",'IB Targets'!F13)</f>
        <v/>
      </c>
      <c r="J12" s="8" t="str">
        <f aca="false">IF('IB Targets'!G13="","",'IB Targets'!G13)</f>
        <v/>
      </c>
      <c r="K12" s="8" t="str">
        <f aca="false">IF('IB Targets'!K13="","",'IB Targets'!K13)</f>
        <v/>
      </c>
      <c r="L12" s="9" t="str">
        <f aca="false">IF('IB Targets'!L13="","",'IB Targets'!L13)</f>
        <v/>
      </c>
    </row>
    <row r="13" customFormat="false" ht="23.85" hidden="false" customHeight="false" outlineLevel="0" collapsed="false">
      <c r="A13" s="7" t="s">
        <v>47</v>
      </c>
      <c r="B13" s="8" t="s">
        <v>19</v>
      </c>
      <c r="C13" s="8" t="s">
        <v>20</v>
      </c>
      <c r="D13" s="8" t="s">
        <v>21</v>
      </c>
      <c r="E13" s="8" t="s">
        <v>48</v>
      </c>
      <c r="F13" s="8" t="s">
        <v>36</v>
      </c>
      <c r="G13" s="8" t="s">
        <v>24</v>
      </c>
      <c r="H13" s="8" t="s">
        <v>49</v>
      </c>
      <c r="I13" s="8" t="str">
        <f aca="false">IF('IB Targets'!F14="","",'IB Targets'!F14)</f>
        <v/>
      </c>
      <c r="J13" s="8" t="str">
        <f aca="false">IF('IB Targets'!G14="","",'IB Targets'!G14)</f>
        <v/>
      </c>
      <c r="K13" s="8" t="str">
        <f aca="false">IF('IB Targets'!K14="","",'IB Targets'!K14)</f>
        <v/>
      </c>
      <c r="L13" s="9" t="str">
        <f aca="false">IF('IB Targets'!L14="","",'IB Targets'!L14)</f>
        <v/>
      </c>
    </row>
    <row r="14" customFormat="false" ht="23.85" hidden="false" customHeight="false" outlineLevel="0" collapsed="false">
      <c r="A14" s="7" t="s">
        <v>50</v>
      </c>
      <c r="B14" s="8" t="s">
        <v>19</v>
      </c>
      <c r="C14" s="8" t="s">
        <v>20</v>
      </c>
      <c r="D14" s="8" t="s">
        <v>21</v>
      </c>
      <c r="E14" s="8" t="s">
        <v>51</v>
      </c>
      <c r="F14" s="8" t="s">
        <v>52</v>
      </c>
      <c r="G14" s="8" t="s">
        <v>24</v>
      </c>
      <c r="H14" s="8" t="s">
        <v>53</v>
      </c>
      <c r="I14" s="8" t="str">
        <f aca="false">IF('IB Targets'!F15="","",'IB Targets'!F15)</f>
        <v/>
      </c>
      <c r="J14" s="8" t="str">
        <f aca="false">IF('IB Targets'!G15="","",'IB Targets'!G15)</f>
        <v/>
      </c>
      <c r="K14" s="8" t="str">
        <f aca="false">IF('IB Targets'!K15="","",'IB Targets'!K15)</f>
        <v/>
      </c>
      <c r="L14" s="9" t="str">
        <f aca="false">IF('IB Targets'!L15="","",'IB Targets'!L15)</f>
        <v/>
      </c>
    </row>
    <row r="15" customFormat="false" ht="23.85" hidden="false" customHeight="false" outlineLevel="0" collapsed="false">
      <c r="A15" s="7" t="s">
        <v>54</v>
      </c>
      <c r="B15" s="8" t="s">
        <v>19</v>
      </c>
      <c r="C15" s="8" t="s">
        <v>55</v>
      </c>
      <c r="D15" s="8" t="s">
        <v>21</v>
      </c>
      <c r="E15" s="8" t="s">
        <v>56</v>
      </c>
      <c r="F15" s="8" t="s">
        <v>57</v>
      </c>
      <c r="G15" s="8" t="s">
        <v>58</v>
      </c>
      <c r="H15" s="8" t="s">
        <v>59</v>
      </c>
      <c r="I15" s="8" t="str">
        <f aca="false">IF('IB Targets'!F16="","",'IB Targets'!F16)</f>
        <v/>
      </c>
      <c r="J15" s="8" t="str">
        <f aca="false">IF('IB Targets'!G16="","",'IB Targets'!G16)</f>
        <v/>
      </c>
      <c r="K15" s="8" t="str">
        <f aca="false">IF('IB Targets'!K16="","",'IB Targets'!K16)</f>
        <v/>
      </c>
      <c r="L15" s="9" t="str">
        <f aca="false">IF('IB Targets'!L16="","",'IB Targets'!L16)</f>
        <v/>
      </c>
    </row>
    <row r="16" customFormat="false" ht="23.85" hidden="false" customHeight="false" outlineLevel="0" collapsed="false">
      <c r="A16" s="7" t="s">
        <v>60</v>
      </c>
      <c r="B16" s="8" t="s">
        <v>19</v>
      </c>
      <c r="C16" s="8" t="s">
        <v>55</v>
      </c>
      <c r="D16" s="8" t="s">
        <v>61</v>
      </c>
      <c r="E16" s="8" t="s">
        <v>62</v>
      </c>
      <c r="F16" s="8" t="s">
        <v>63</v>
      </c>
      <c r="G16" s="8" t="s">
        <v>64</v>
      </c>
      <c r="H16" s="8" t="s">
        <v>65</v>
      </c>
      <c r="I16" s="8" t="str">
        <f aca="false">IF('IB Targets'!F17="","",'IB Targets'!F17)</f>
        <v/>
      </c>
      <c r="J16" s="8" t="str">
        <f aca="false">IF('IB Targets'!G17="","",'IB Targets'!G17)</f>
        <v/>
      </c>
      <c r="K16" s="8" t="str">
        <f aca="false">IF('IB Targets'!K17="","",'IB Targets'!K17)</f>
        <v/>
      </c>
      <c r="L16" s="9" t="str">
        <f aca="false">IF('IB Targets'!L17="","",'IB Targets'!L17)</f>
        <v/>
      </c>
    </row>
    <row r="17" customFormat="false" ht="23.85" hidden="false" customHeight="false" outlineLevel="0" collapsed="false">
      <c r="A17" s="7" t="s">
        <v>66</v>
      </c>
      <c r="B17" s="8" t="s">
        <v>19</v>
      </c>
      <c r="C17" s="8" t="s">
        <v>55</v>
      </c>
      <c r="D17" s="8" t="s">
        <v>21</v>
      </c>
      <c r="E17" s="8" t="s">
        <v>67</v>
      </c>
      <c r="F17" s="8" t="s">
        <v>68</v>
      </c>
      <c r="G17" s="8" t="s">
        <v>58</v>
      </c>
      <c r="H17" s="8" t="s">
        <v>69</v>
      </c>
      <c r="I17" s="8" t="str">
        <f aca="false">IF('IB Targets'!F18="","",'IB Targets'!F18)</f>
        <v/>
      </c>
      <c r="J17" s="8" t="str">
        <f aca="false">IF('IB Targets'!G18="","",'IB Targets'!G18)</f>
        <v/>
      </c>
      <c r="K17" s="8" t="str">
        <f aca="false">IF('IB Targets'!K18="","",'IB Targets'!K18)</f>
        <v/>
      </c>
      <c r="L17" s="9" t="str">
        <f aca="false">IF('IB Targets'!L18="","",'IB Targets'!L18)</f>
        <v/>
      </c>
    </row>
    <row r="18" customFormat="false" ht="23.85" hidden="false" customHeight="false" outlineLevel="0" collapsed="false">
      <c r="A18" s="7" t="s">
        <v>70</v>
      </c>
      <c r="B18" s="8" t="s">
        <v>19</v>
      </c>
      <c r="C18" s="8" t="s">
        <v>55</v>
      </c>
      <c r="D18" s="8" t="s">
        <v>21</v>
      </c>
      <c r="E18" s="8" t="s">
        <v>71</v>
      </c>
      <c r="F18" s="8" t="s">
        <v>72</v>
      </c>
      <c r="G18" s="8" t="s">
        <v>58</v>
      </c>
      <c r="H18" s="8" t="s">
        <v>37</v>
      </c>
      <c r="I18" s="8" t="str">
        <f aca="false">IF('IB Targets'!F19="","",'IB Targets'!F19)</f>
        <v/>
      </c>
      <c r="J18" s="8" t="str">
        <f aca="false">IF('IB Targets'!G19="","",'IB Targets'!G19)</f>
        <v/>
      </c>
      <c r="K18" s="8" t="str">
        <f aca="false">IF('IB Targets'!K19="","",'IB Targets'!K19)</f>
        <v/>
      </c>
      <c r="L18" s="9" t="str">
        <f aca="false">IF('IB Targets'!L19="","",'IB Targets'!L19)</f>
        <v/>
      </c>
    </row>
    <row r="19" customFormat="false" ht="23.85" hidden="false" customHeight="false" outlineLevel="0" collapsed="false">
      <c r="A19" s="7" t="s">
        <v>73</v>
      </c>
      <c r="B19" s="8" t="s">
        <v>19</v>
      </c>
      <c r="C19" s="8" t="s">
        <v>74</v>
      </c>
      <c r="D19" s="8" t="s">
        <v>21</v>
      </c>
      <c r="E19" s="8" t="s">
        <v>75</v>
      </c>
      <c r="F19" s="8" t="s">
        <v>76</v>
      </c>
      <c r="G19" s="8" t="s">
        <v>77</v>
      </c>
      <c r="H19" s="8" t="s">
        <v>78</v>
      </c>
      <c r="I19" s="8" t="str">
        <f aca="false">IF('IB Targets'!F20="","",'IB Targets'!F20)</f>
        <v/>
      </c>
      <c r="J19" s="8" t="str">
        <f aca="false">IF('IB Targets'!G20="","",'IB Targets'!G20)</f>
        <v/>
      </c>
      <c r="K19" s="8" t="str">
        <f aca="false">IF('IB Targets'!K20="","",'IB Targets'!K20)</f>
        <v/>
      </c>
      <c r="L19" s="9" t="str">
        <f aca="false">IF('IB Targets'!L20="","",'IB Targets'!L20)</f>
        <v/>
      </c>
    </row>
    <row r="20" customFormat="false" ht="23.85" hidden="false" customHeight="false" outlineLevel="0" collapsed="false">
      <c r="A20" s="7" t="s">
        <v>79</v>
      </c>
      <c r="B20" s="8" t="s">
        <v>19</v>
      </c>
      <c r="C20" s="8" t="s">
        <v>74</v>
      </c>
      <c r="D20" s="8" t="s">
        <v>80</v>
      </c>
      <c r="E20" s="8" t="s">
        <v>81</v>
      </c>
      <c r="F20" s="8" t="s">
        <v>82</v>
      </c>
      <c r="G20" s="8" t="s">
        <v>83</v>
      </c>
      <c r="H20" s="8" t="s">
        <v>84</v>
      </c>
      <c r="I20" s="8" t="str">
        <f aca="false">IF('IB Targets'!F21="","",'IB Targets'!F21)</f>
        <v/>
      </c>
      <c r="J20" s="8" t="str">
        <f aca="false">IF('IB Targets'!G21="","",'IB Targets'!G21)</f>
        <v/>
      </c>
      <c r="K20" s="8" t="str">
        <f aca="false">IF('IB Targets'!K21="","",'IB Targets'!K21)</f>
        <v/>
      </c>
      <c r="L20" s="9" t="str">
        <f aca="false">IF('IB Targets'!L21="","",'IB Targets'!L21)</f>
        <v/>
      </c>
    </row>
    <row r="21" customFormat="false" ht="23.85" hidden="false" customHeight="false" outlineLevel="0" collapsed="false">
      <c r="A21" s="7" t="s">
        <v>85</v>
      </c>
      <c r="B21" s="8" t="s">
        <v>19</v>
      </c>
      <c r="C21" s="8" t="s">
        <v>74</v>
      </c>
      <c r="D21" s="8" t="s">
        <v>86</v>
      </c>
      <c r="E21" s="8" t="s">
        <v>87</v>
      </c>
      <c r="F21" s="8" t="s">
        <v>88</v>
      </c>
      <c r="G21" s="8" t="s">
        <v>89</v>
      </c>
      <c r="H21" s="8" t="s">
        <v>90</v>
      </c>
      <c r="I21" s="8" t="str">
        <f aca="false">IF('IB Targets'!F22="","",'IB Targets'!F22)</f>
        <v/>
      </c>
      <c r="J21" s="8" t="str">
        <f aca="false">IF('IB Targets'!G22="","",'IB Targets'!G22)</f>
        <v/>
      </c>
      <c r="K21" s="8" t="str">
        <f aca="false">IF('IB Targets'!K22="","",'IB Targets'!K22)</f>
        <v/>
      </c>
      <c r="L21" s="9" t="str">
        <f aca="false">IF('IB Targets'!L22="","",'IB Targets'!L22)</f>
        <v/>
      </c>
    </row>
    <row r="22" customFormat="false" ht="23.85" hidden="false" customHeight="false" outlineLevel="0" collapsed="false">
      <c r="A22" s="7" t="s">
        <v>91</v>
      </c>
      <c r="B22" s="8" t="s">
        <v>19</v>
      </c>
      <c r="C22" s="8" t="s">
        <v>74</v>
      </c>
      <c r="D22" s="8" t="s">
        <v>21</v>
      </c>
      <c r="E22" s="8" t="s">
        <v>92</v>
      </c>
      <c r="F22" s="8" t="s">
        <v>93</v>
      </c>
      <c r="G22" s="8" t="s">
        <v>89</v>
      </c>
      <c r="H22" s="8" t="s">
        <v>94</v>
      </c>
      <c r="I22" s="8" t="str">
        <f aca="false">IF('IB Targets'!F23="","",'IB Targets'!F23)</f>
        <v/>
      </c>
      <c r="J22" s="8" t="str">
        <f aca="false">IF('IB Targets'!G23="","",'IB Targets'!G23)</f>
        <v/>
      </c>
      <c r="K22" s="8" t="str">
        <f aca="false">IF('IB Targets'!K23="","",'IB Targets'!K23)</f>
        <v/>
      </c>
      <c r="L22" s="9" t="str">
        <f aca="false">IF('IB Targets'!L23="","",'IB Targets'!L23)</f>
        <v/>
      </c>
    </row>
    <row r="23" customFormat="false" ht="23.85" hidden="false" customHeight="false" outlineLevel="0" collapsed="false">
      <c r="A23" s="7" t="s">
        <v>95</v>
      </c>
      <c r="B23" s="8" t="s">
        <v>19</v>
      </c>
      <c r="C23" s="8" t="s">
        <v>74</v>
      </c>
      <c r="D23" s="8" t="s">
        <v>21</v>
      </c>
      <c r="E23" s="8" t="s">
        <v>96</v>
      </c>
      <c r="F23" s="8" t="s">
        <v>97</v>
      </c>
      <c r="G23" s="8" t="s">
        <v>58</v>
      </c>
      <c r="H23" s="8" t="s">
        <v>98</v>
      </c>
      <c r="I23" s="8" t="str">
        <f aca="false">IF('IB Targets'!F24="","",'IB Targets'!F24)</f>
        <v/>
      </c>
      <c r="J23" s="8" t="str">
        <f aca="false">IF('IB Targets'!G24="","",'IB Targets'!G24)</f>
        <v/>
      </c>
      <c r="K23" s="8" t="str">
        <f aca="false">IF('IB Targets'!K24="","",'IB Targets'!K24)</f>
        <v/>
      </c>
      <c r="L23" s="9" t="str">
        <f aca="false">IF('IB Targets'!L24="","",'IB Targets'!L24)</f>
        <v/>
      </c>
    </row>
    <row r="24" customFormat="false" ht="15" hidden="false" customHeight="false" outlineLevel="0" collapsed="false">
      <c r="A24" s="7" t="s">
        <v>99</v>
      </c>
      <c r="B24" s="8" t="s">
        <v>19</v>
      </c>
      <c r="C24" s="8" t="s">
        <v>74</v>
      </c>
      <c r="D24" s="8" t="s">
        <v>100</v>
      </c>
      <c r="E24" s="8" t="s">
        <v>101</v>
      </c>
      <c r="F24" s="8" t="s">
        <v>102</v>
      </c>
      <c r="G24" s="8" t="s">
        <v>58</v>
      </c>
      <c r="H24" s="8" t="s">
        <v>37</v>
      </c>
      <c r="I24" s="8" t="str">
        <f aca="false">IF('IB Targets'!F25="","",'IB Targets'!F25)</f>
        <v/>
      </c>
      <c r="J24" s="8" t="str">
        <f aca="false">IF('IB Targets'!G25="","",'IB Targets'!G25)</f>
        <v/>
      </c>
      <c r="K24" s="8" t="str">
        <f aca="false">IF('IB Targets'!K25="","",'IB Targets'!K25)</f>
        <v/>
      </c>
      <c r="L24" s="9" t="str">
        <f aca="false">IF('IB Targets'!L25="","",'IB Targets'!L25)</f>
        <v/>
      </c>
    </row>
    <row r="25" customFormat="false" ht="15" hidden="false" customHeight="false" outlineLevel="0" collapsed="false">
      <c r="A25" s="7" t="s">
        <v>103</v>
      </c>
      <c r="B25" s="8" t="s">
        <v>19</v>
      </c>
      <c r="C25" s="8" t="s">
        <v>74</v>
      </c>
      <c r="D25" s="8" t="s">
        <v>21</v>
      </c>
      <c r="E25" s="8" t="s">
        <v>104</v>
      </c>
      <c r="F25" s="8" t="s">
        <v>102</v>
      </c>
      <c r="G25" s="8" t="s">
        <v>58</v>
      </c>
      <c r="H25" s="8" t="s">
        <v>37</v>
      </c>
      <c r="I25" s="8" t="str">
        <f aca="false">IF('IB Targets'!F26="","",'IB Targets'!F26)</f>
        <v/>
      </c>
      <c r="J25" s="8" t="str">
        <f aca="false">IF('IB Targets'!G26="","",'IB Targets'!G26)</f>
        <v/>
      </c>
      <c r="K25" s="8" t="str">
        <f aca="false">IF('IB Targets'!K26="","",'IB Targets'!K26)</f>
        <v/>
      </c>
      <c r="L25" s="9" t="str">
        <f aca="false">IF('IB Targets'!L26="","",'IB Targets'!L26)</f>
        <v/>
      </c>
    </row>
    <row r="26" customFormat="false" ht="15" hidden="false" customHeight="false" outlineLevel="0" collapsed="false">
      <c r="A26" s="7" t="s">
        <v>105</v>
      </c>
      <c r="B26" s="8" t="s">
        <v>19</v>
      </c>
      <c r="C26" s="8" t="s">
        <v>74</v>
      </c>
      <c r="D26" s="8" t="s">
        <v>106</v>
      </c>
      <c r="E26" s="8" t="s">
        <v>107</v>
      </c>
      <c r="F26" s="8" t="s">
        <v>102</v>
      </c>
      <c r="G26" s="8" t="s">
        <v>58</v>
      </c>
      <c r="H26" s="8" t="s">
        <v>37</v>
      </c>
      <c r="I26" s="8" t="str">
        <f aca="false">IF('IB Targets'!F27="","",'IB Targets'!F27)</f>
        <v/>
      </c>
      <c r="J26" s="8" t="str">
        <f aca="false">IF('IB Targets'!G27="","",'IB Targets'!G27)</f>
        <v/>
      </c>
      <c r="K26" s="8" t="str">
        <f aca="false">IF('IB Targets'!K27="","",'IB Targets'!K27)</f>
        <v/>
      </c>
      <c r="L26" s="9" t="str">
        <f aca="false">IF('IB Targets'!L27="","",'IB Targets'!L27)</f>
        <v/>
      </c>
    </row>
    <row r="27" customFormat="false" ht="23.85" hidden="false" customHeight="false" outlineLevel="0" collapsed="false">
      <c r="A27" s="7" t="s">
        <v>108</v>
      </c>
      <c r="B27" s="8" t="s">
        <v>19</v>
      </c>
      <c r="C27" s="8" t="s">
        <v>74</v>
      </c>
      <c r="D27" s="8" t="s">
        <v>109</v>
      </c>
      <c r="E27" s="8" t="s">
        <v>110</v>
      </c>
      <c r="F27" s="8" t="s">
        <v>111</v>
      </c>
      <c r="G27" s="8" t="s">
        <v>58</v>
      </c>
      <c r="H27" s="8" t="s">
        <v>112</v>
      </c>
      <c r="I27" s="8" t="str">
        <f aca="false">IF('IB Targets'!F28="","",'IB Targets'!F28)</f>
        <v/>
      </c>
      <c r="J27" s="8" t="str">
        <f aca="false">IF('IB Targets'!G28="","",'IB Targets'!G28)</f>
        <v/>
      </c>
      <c r="K27" s="8" t="str">
        <f aca="false">IF('IB Targets'!K28="","",'IB Targets'!K28)</f>
        <v/>
      </c>
      <c r="L27" s="9" t="str">
        <f aca="false">IF('IB Targets'!L28="","",'IB Targets'!L28)</f>
        <v/>
      </c>
    </row>
    <row r="28" customFormat="false" ht="23.85" hidden="false" customHeight="false" outlineLevel="0" collapsed="false">
      <c r="A28" s="7" t="s">
        <v>113</v>
      </c>
      <c r="B28" s="8" t="s">
        <v>19</v>
      </c>
      <c r="C28" s="8" t="s">
        <v>74</v>
      </c>
      <c r="D28" s="8" t="s">
        <v>114</v>
      </c>
      <c r="E28" s="8" t="s">
        <v>115</v>
      </c>
      <c r="F28" s="8" t="s">
        <v>88</v>
      </c>
      <c r="G28" s="8" t="s">
        <v>89</v>
      </c>
      <c r="H28" s="8" t="s">
        <v>116</v>
      </c>
      <c r="I28" s="8" t="str">
        <f aca="false">IF('IB Targets'!F29="","",'IB Targets'!F29)</f>
        <v/>
      </c>
      <c r="J28" s="8" t="str">
        <f aca="false">IF('IB Targets'!G29="","",'IB Targets'!G29)</f>
        <v/>
      </c>
      <c r="K28" s="8" t="str">
        <f aca="false">IF('IB Targets'!K29="","",'IB Targets'!K29)</f>
        <v/>
      </c>
      <c r="L28" s="9" t="str">
        <f aca="false">IF('IB Targets'!L29="","",'IB Targets'!L29)</f>
        <v/>
      </c>
    </row>
    <row r="29" customFormat="false" ht="23.85" hidden="false" customHeight="false" outlineLevel="0" collapsed="false">
      <c r="A29" s="7" t="s">
        <v>117</v>
      </c>
      <c r="B29" s="8" t="s">
        <v>118</v>
      </c>
      <c r="C29" s="8" t="s">
        <v>119</v>
      </c>
      <c r="D29" s="8" t="s">
        <v>120</v>
      </c>
      <c r="E29" s="8" t="s">
        <v>121</v>
      </c>
      <c r="F29" s="8" t="s">
        <v>122</v>
      </c>
      <c r="G29" s="8" t="s">
        <v>123</v>
      </c>
      <c r="H29" s="8" t="s">
        <v>124</v>
      </c>
      <c r="I29" s="8" t="str">
        <f aca="false">IF('Corp Dev Targets'!F6="","",'Corp Dev Targets'!F6)</f>
        <v/>
      </c>
      <c r="J29" s="8" t="str">
        <f aca="false">IF('Corp Dev Targets'!G6="","",'Corp Dev Targets'!G6)</f>
        <v/>
      </c>
      <c r="K29" s="8" t="str">
        <f aca="false">IF('Corp Dev Targets'!K6="","",'Corp Dev Targets'!K6)</f>
        <v/>
      </c>
      <c r="L29" s="9" t="str">
        <f aca="false">IF('Corp Dev Targets'!L6="","",'Corp Dev Targets'!L6)</f>
        <v/>
      </c>
    </row>
    <row r="30" customFormat="false" ht="23.85" hidden="false" customHeight="false" outlineLevel="0" collapsed="false">
      <c r="A30" s="7" t="s">
        <v>125</v>
      </c>
      <c r="B30" s="8" t="s">
        <v>118</v>
      </c>
      <c r="C30" s="8" t="s">
        <v>119</v>
      </c>
      <c r="D30" s="8" t="s">
        <v>126</v>
      </c>
      <c r="E30" s="8" t="s">
        <v>127</v>
      </c>
      <c r="F30" s="8" t="s">
        <v>128</v>
      </c>
      <c r="G30" s="8" t="s">
        <v>129</v>
      </c>
      <c r="H30" s="8" t="s">
        <v>130</v>
      </c>
      <c r="I30" s="8" t="str">
        <f aca="false">IF('Corp Dev Targets'!F7="","",'Corp Dev Targets'!F7)</f>
        <v/>
      </c>
      <c r="J30" s="8" t="str">
        <f aca="false">IF('Corp Dev Targets'!G7="","",'Corp Dev Targets'!G7)</f>
        <v/>
      </c>
      <c r="K30" s="8" t="str">
        <f aca="false">IF('Corp Dev Targets'!K7="","",'Corp Dev Targets'!K7)</f>
        <v/>
      </c>
      <c r="L30" s="9" t="str">
        <f aca="false">IF('Corp Dev Targets'!L7="","",'Corp Dev Targets'!L7)</f>
        <v/>
      </c>
    </row>
    <row r="31" customFormat="false" ht="23.85" hidden="false" customHeight="false" outlineLevel="0" collapsed="false">
      <c r="A31" s="7" t="s">
        <v>131</v>
      </c>
      <c r="B31" s="8" t="s">
        <v>118</v>
      </c>
      <c r="C31" s="8" t="s">
        <v>132</v>
      </c>
      <c r="D31" s="8" t="s">
        <v>133</v>
      </c>
      <c r="E31" s="8" t="s">
        <v>134</v>
      </c>
      <c r="F31" s="8" t="s">
        <v>135</v>
      </c>
      <c r="G31" s="8" t="s">
        <v>136</v>
      </c>
      <c r="H31" s="8" t="s">
        <v>137</v>
      </c>
      <c r="I31" s="8" t="str">
        <f aca="false">IF('Corp Dev Targets'!F8="","",'Corp Dev Targets'!F8)</f>
        <v/>
      </c>
      <c r="J31" s="8" t="str">
        <f aca="false">IF('Corp Dev Targets'!G8="","",'Corp Dev Targets'!G8)</f>
        <v/>
      </c>
      <c r="K31" s="8" t="str">
        <f aca="false">IF('Corp Dev Targets'!K8="","",'Corp Dev Targets'!K8)</f>
        <v/>
      </c>
      <c r="L31" s="9" t="str">
        <f aca="false">IF('Corp Dev Targets'!L8="","",'Corp Dev Targets'!L8)</f>
        <v/>
      </c>
    </row>
    <row r="32" customFormat="false" ht="23.85" hidden="false" customHeight="false" outlineLevel="0" collapsed="false">
      <c r="A32" s="7" t="s">
        <v>138</v>
      </c>
      <c r="B32" s="8" t="s">
        <v>118</v>
      </c>
      <c r="C32" s="8" t="s">
        <v>139</v>
      </c>
      <c r="D32" s="8" t="s">
        <v>140</v>
      </c>
      <c r="E32" s="8" t="s">
        <v>141</v>
      </c>
      <c r="F32" s="8" t="s">
        <v>142</v>
      </c>
      <c r="G32" s="8" t="s">
        <v>58</v>
      </c>
      <c r="H32" s="8" t="s">
        <v>143</v>
      </c>
      <c r="I32" s="8" t="str">
        <f aca="false">IF('Corp Dev Targets'!F9="","",'Corp Dev Targets'!F9)</f>
        <v/>
      </c>
      <c r="J32" s="8" t="str">
        <f aca="false">IF('Corp Dev Targets'!G9="","",'Corp Dev Targets'!G9)</f>
        <v/>
      </c>
      <c r="K32" s="8" t="str">
        <f aca="false">IF('Corp Dev Targets'!K9="","",'Corp Dev Targets'!K9)</f>
        <v/>
      </c>
      <c r="L32" s="9" t="str">
        <f aca="false">IF('Corp Dev Targets'!L9="","",'Corp Dev Targets'!L9)</f>
        <v/>
      </c>
    </row>
    <row r="33" customFormat="false" ht="23.85" hidden="false" customHeight="false" outlineLevel="0" collapsed="false">
      <c r="A33" s="7" t="s">
        <v>144</v>
      </c>
      <c r="B33" s="8" t="s">
        <v>118</v>
      </c>
      <c r="C33" s="8" t="s">
        <v>145</v>
      </c>
      <c r="D33" s="8" t="s">
        <v>146</v>
      </c>
      <c r="E33" s="8" t="s">
        <v>147</v>
      </c>
      <c r="F33" s="8" t="s">
        <v>148</v>
      </c>
      <c r="G33" s="8" t="s">
        <v>129</v>
      </c>
      <c r="H33" s="8" t="s">
        <v>149</v>
      </c>
      <c r="I33" s="8" t="str">
        <f aca="false">IF('Corp Dev Targets'!F10="","",'Corp Dev Targets'!F10)</f>
        <v/>
      </c>
      <c r="J33" s="8" t="str">
        <f aca="false">IF('Corp Dev Targets'!G10="","",'Corp Dev Targets'!G10)</f>
        <v/>
      </c>
      <c r="K33" s="8" t="str">
        <f aca="false">IF('Corp Dev Targets'!K10="","",'Corp Dev Targets'!K10)</f>
        <v/>
      </c>
      <c r="L33" s="9" t="str">
        <f aca="false">IF('Corp Dev Targets'!L10="","",'Corp Dev Targets'!L10)</f>
        <v/>
      </c>
    </row>
    <row r="34" customFormat="false" ht="15" hidden="false" customHeight="false" outlineLevel="0" collapsed="false">
      <c r="A34" s="7" t="s">
        <v>150</v>
      </c>
      <c r="B34" s="8" t="s">
        <v>118</v>
      </c>
      <c r="C34" s="8" t="s">
        <v>151</v>
      </c>
      <c r="D34" s="8" t="s">
        <v>152</v>
      </c>
      <c r="E34" s="8" t="s">
        <v>153</v>
      </c>
      <c r="F34" s="8" t="s">
        <v>154</v>
      </c>
      <c r="G34" s="8" t="s">
        <v>58</v>
      </c>
      <c r="H34" s="8" t="s">
        <v>37</v>
      </c>
      <c r="I34" s="8" t="str">
        <f aca="false">IF('Corp Dev Targets'!F11="","",'Corp Dev Targets'!F11)</f>
        <v/>
      </c>
      <c r="J34" s="8" t="str">
        <f aca="false">IF('Corp Dev Targets'!G11="","",'Corp Dev Targets'!G11)</f>
        <v/>
      </c>
      <c r="K34" s="8" t="str">
        <f aca="false">IF('Corp Dev Targets'!K11="","",'Corp Dev Targets'!K11)</f>
        <v/>
      </c>
      <c r="L34" s="9" t="str">
        <f aca="false">IF('Corp Dev Targets'!L11="","",'Corp Dev Targets'!L11)</f>
        <v/>
      </c>
    </row>
    <row r="35" customFormat="false" ht="23.85" hidden="false" customHeight="false" outlineLevel="0" collapsed="false">
      <c r="A35" s="7" t="s">
        <v>155</v>
      </c>
      <c r="B35" s="8" t="s">
        <v>118</v>
      </c>
      <c r="C35" s="8" t="s">
        <v>156</v>
      </c>
      <c r="D35" s="8" t="s">
        <v>157</v>
      </c>
      <c r="E35" s="8" t="s">
        <v>158</v>
      </c>
      <c r="F35" s="8" t="s">
        <v>159</v>
      </c>
      <c r="G35" s="8" t="s">
        <v>58</v>
      </c>
      <c r="H35" s="8" t="s">
        <v>160</v>
      </c>
      <c r="I35" s="8" t="str">
        <f aca="false">IF('Corp Dev Targets'!F12="","",'Corp Dev Targets'!F12)</f>
        <v/>
      </c>
      <c r="J35" s="8" t="str">
        <f aca="false">IF('Corp Dev Targets'!G12="","",'Corp Dev Targets'!G12)</f>
        <v/>
      </c>
      <c r="K35" s="8" t="str">
        <f aca="false">IF('Corp Dev Targets'!K12="","",'Corp Dev Targets'!K12)</f>
        <v/>
      </c>
      <c r="L35" s="9" t="str">
        <f aca="false">IF('Corp Dev Targets'!L12="","",'Corp Dev Targets'!L12)</f>
        <v/>
      </c>
    </row>
    <row r="36" customFormat="false" ht="23.85" hidden="false" customHeight="false" outlineLevel="0" collapsed="false">
      <c r="A36" s="7" t="s">
        <v>161</v>
      </c>
      <c r="B36" s="8" t="s">
        <v>118</v>
      </c>
      <c r="C36" s="8" t="s">
        <v>162</v>
      </c>
      <c r="D36" s="8" t="s">
        <v>163</v>
      </c>
      <c r="E36" s="8" t="s">
        <v>164</v>
      </c>
      <c r="F36" s="8" t="s">
        <v>165</v>
      </c>
      <c r="G36" s="8" t="s">
        <v>166</v>
      </c>
      <c r="H36" s="8" t="s">
        <v>167</v>
      </c>
      <c r="I36" s="8" t="str">
        <f aca="false">IF('Corp Dev Targets'!F13="","",'Corp Dev Targets'!F13)</f>
        <v/>
      </c>
      <c r="J36" s="8" t="str">
        <f aca="false">IF('Corp Dev Targets'!G13="","",'Corp Dev Targets'!G13)</f>
        <v/>
      </c>
      <c r="K36" s="8" t="str">
        <f aca="false">IF('Corp Dev Targets'!K13="","",'Corp Dev Targets'!K13)</f>
        <v/>
      </c>
      <c r="L36" s="9" t="str">
        <f aca="false">IF('Corp Dev Targets'!L13="","",'Corp Dev Targets'!L13)</f>
        <v/>
      </c>
    </row>
    <row r="37" customFormat="false" ht="23.85" hidden="false" customHeight="false" outlineLevel="0" collapsed="false">
      <c r="A37" s="7" t="s">
        <v>168</v>
      </c>
      <c r="B37" s="8" t="s">
        <v>118</v>
      </c>
      <c r="C37" s="8" t="s">
        <v>169</v>
      </c>
      <c r="D37" s="8" t="s">
        <v>21</v>
      </c>
      <c r="E37" s="8" t="s">
        <v>170</v>
      </c>
      <c r="F37" s="8" t="s">
        <v>171</v>
      </c>
      <c r="G37" s="8" t="s">
        <v>172</v>
      </c>
      <c r="H37" s="8" t="s">
        <v>173</v>
      </c>
      <c r="I37" s="8" t="str">
        <f aca="false">IF('Corp Dev Targets'!F14="","",'Corp Dev Targets'!F14)</f>
        <v/>
      </c>
      <c r="J37" s="8" t="str">
        <f aca="false">IF('Corp Dev Targets'!G14="","",'Corp Dev Targets'!G14)</f>
        <v/>
      </c>
      <c r="K37" s="8" t="str">
        <f aca="false">IF('Corp Dev Targets'!K14="","",'Corp Dev Targets'!K14)</f>
        <v/>
      </c>
      <c r="L37" s="9" t="str">
        <f aca="false">IF('Corp Dev Targets'!L14="","",'Corp Dev Targets'!L14)</f>
        <v/>
      </c>
    </row>
    <row r="38" customFormat="false" ht="23.85" hidden="false" customHeight="false" outlineLevel="0" collapsed="false">
      <c r="A38" s="7" t="s">
        <v>174</v>
      </c>
      <c r="B38" s="8" t="s">
        <v>175</v>
      </c>
      <c r="C38" s="8" t="s">
        <v>176</v>
      </c>
      <c r="D38" s="8" t="s">
        <v>21</v>
      </c>
      <c r="E38" s="8" t="s">
        <v>177</v>
      </c>
      <c r="F38" s="8" t="s">
        <v>178</v>
      </c>
      <c r="G38" s="8" t="s">
        <v>179</v>
      </c>
      <c r="H38" s="8" t="s">
        <v>180</v>
      </c>
      <c r="I38" s="8" t="str">
        <f aca="false">IF('VC Targets'!F6="","",'VC Targets'!F6)</f>
        <v/>
      </c>
      <c r="J38" s="8" t="str">
        <f aca="false">IF('VC Targets'!G6="","",'VC Targets'!G6)</f>
        <v/>
      </c>
      <c r="K38" s="8" t="str">
        <f aca="false">IF('VC Targets'!K6="","",'VC Targets'!K6)</f>
        <v/>
      </c>
      <c r="L38" s="9" t="str">
        <f aca="false">IF('VC Targets'!L6="","",'VC Targets'!L6)</f>
        <v/>
      </c>
    </row>
    <row r="39" customFormat="false" ht="23.85" hidden="false" customHeight="false" outlineLevel="0" collapsed="false">
      <c r="A39" s="7" t="s">
        <v>181</v>
      </c>
      <c r="B39" s="8" t="s">
        <v>175</v>
      </c>
      <c r="C39" s="8" t="s">
        <v>182</v>
      </c>
      <c r="D39" s="8" t="s">
        <v>21</v>
      </c>
      <c r="E39" s="8" t="s">
        <v>183</v>
      </c>
      <c r="F39" s="8" t="s">
        <v>184</v>
      </c>
      <c r="G39" s="8" t="s">
        <v>58</v>
      </c>
      <c r="H39" s="8" t="s">
        <v>185</v>
      </c>
      <c r="I39" s="8" t="str">
        <f aca="false">IF('VC Targets'!F7="","",'VC Targets'!F7)</f>
        <v/>
      </c>
      <c r="J39" s="8" t="str">
        <f aca="false">IF('VC Targets'!G7="","",'VC Targets'!G7)</f>
        <v/>
      </c>
      <c r="K39" s="8" t="str">
        <f aca="false">IF('VC Targets'!K7="","",'VC Targets'!K7)</f>
        <v/>
      </c>
      <c r="L39" s="9" t="str">
        <f aca="false">IF('VC Targets'!L7="","",'VC Targets'!L7)</f>
        <v/>
      </c>
    </row>
    <row r="40" customFormat="false" ht="15" hidden="false" customHeight="false" outlineLevel="0" collapsed="false">
      <c r="A40" s="7" t="s">
        <v>186</v>
      </c>
      <c r="B40" s="8" t="s">
        <v>175</v>
      </c>
      <c r="C40" s="8" t="s">
        <v>187</v>
      </c>
      <c r="D40" s="8" t="s">
        <v>21</v>
      </c>
      <c r="E40" s="8" t="s">
        <v>188</v>
      </c>
      <c r="F40" s="8" t="s">
        <v>189</v>
      </c>
      <c r="G40" s="8" t="s">
        <v>58</v>
      </c>
      <c r="H40" s="8" t="s">
        <v>37</v>
      </c>
      <c r="I40" s="8" t="str">
        <f aca="false">IF('VC Targets'!F8="","",'VC Targets'!F8)</f>
        <v/>
      </c>
      <c r="J40" s="8" t="str">
        <f aca="false">IF('VC Targets'!G8="","",'VC Targets'!G8)</f>
        <v/>
      </c>
      <c r="K40" s="8" t="str">
        <f aca="false">IF('VC Targets'!K8="","",'VC Targets'!K8)</f>
        <v/>
      </c>
      <c r="L40" s="9" t="str">
        <f aca="false">IF('VC Targets'!L8="","",'VC Targets'!L8)</f>
        <v/>
      </c>
    </row>
    <row r="41" customFormat="false" ht="15" hidden="false" customHeight="false" outlineLevel="0" collapsed="false">
      <c r="A41" s="7" t="s">
        <v>190</v>
      </c>
      <c r="B41" s="8" t="s">
        <v>175</v>
      </c>
      <c r="C41" s="8" t="s">
        <v>187</v>
      </c>
      <c r="D41" s="8" t="s">
        <v>191</v>
      </c>
      <c r="E41" s="8" t="s">
        <v>192</v>
      </c>
      <c r="F41" s="8" t="s">
        <v>193</v>
      </c>
      <c r="G41" s="8" t="s">
        <v>58</v>
      </c>
      <c r="H41" s="8" t="s">
        <v>194</v>
      </c>
      <c r="I41" s="8" t="str">
        <f aca="false">IF('VC Targets'!F9="","",'VC Targets'!F9)</f>
        <v/>
      </c>
      <c r="J41" s="8" t="str">
        <f aca="false">IF('VC Targets'!G9="","",'VC Targets'!G9)</f>
        <v/>
      </c>
      <c r="K41" s="8" t="str">
        <f aca="false">IF('VC Targets'!K9="","",'VC Targets'!K9)</f>
        <v/>
      </c>
      <c r="L41" s="9" t="str">
        <f aca="false">IF('VC Targets'!L9="","",'VC Targets'!L9)</f>
        <v/>
      </c>
    </row>
    <row r="42" customFormat="false" ht="23.85" hidden="false" customHeight="false" outlineLevel="0" collapsed="false">
      <c r="A42" s="7" t="s">
        <v>195</v>
      </c>
      <c r="B42" s="8" t="s">
        <v>175</v>
      </c>
      <c r="C42" s="8" t="s">
        <v>187</v>
      </c>
      <c r="D42" s="8" t="s">
        <v>191</v>
      </c>
      <c r="E42" s="8" t="s">
        <v>196</v>
      </c>
      <c r="F42" s="8" t="s">
        <v>197</v>
      </c>
      <c r="G42" s="8" t="s">
        <v>198</v>
      </c>
      <c r="H42" s="8" t="s">
        <v>199</v>
      </c>
      <c r="I42" s="8" t="str">
        <f aca="false">IF('VC Targets'!F10="","",'VC Targets'!F10)</f>
        <v/>
      </c>
      <c r="J42" s="8" t="str">
        <f aca="false">IF('VC Targets'!G10="","",'VC Targets'!G10)</f>
        <v/>
      </c>
      <c r="K42" s="8" t="str">
        <f aca="false">IF('VC Targets'!K10="","",'VC Targets'!K10)</f>
        <v/>
      </c>
      <c r="L42" s="9" t="str">
        <f aca="false">IF('VC Targets'!L10="","",'VC Targets'!L10)</f>
        <v/>
      </c>
    </row>
    <row r="43" customFormat="false" ht="23.85" hidden="false" customHeight="false" outlineLevel="0" collapsed="false">
      <c r="A43" s="7" t="s">
        <v>200</v>
      </c>
      <c r="B43" s="8" t="s">
        <v>175</v>
      </c>
      <c r="C43" s="8" t="s">
        <v>187</v>
      </c>
      <c r="D43" s="8" t="s">
        <v>21</v>
      </c>
      <c r="E43" s="8" t="s">
        <v>201</v>
      </c>
      <c r="F43" s="8" t="s">
        <v>202</v>
      </c>
      <c r="G43" s="8" t="s">
        <v>58</v>
      </c>
      <c r="H43" s="8" t="s">
        <v>203</v>
      </c>
      <c r="I43" s="8" t="str">
        <f aca="false">IF('VC Targets'!F11="","",'VC Targets'!F11)</f>
        <v/>
      </c>
      <c r="J43" s="8" t="str">
        <f aca="false">IF('VC Targets'!G11="","",'VC Targets'!G11)</f>
        <v/>
      </c>
      <c r="K43" s="8" t="str">
        <f aca="false">IF('VC Targets'!K11="","",'VC Targets'!K11)</f>
        <v/>
      </c>
      <c r="L43" s="9" t="str">
        <f aca="false">IF('VC Targets'!L11="","",'VC Targets'!L11)</f>
        <v/>
      </c>
    </row>
    <row r="44" customFormat="false" ht="23.85" hidden="false" customHeight="false" outlineLevel="0" collapsed="false">
      <c r="A44" s="7" t="s">
        <v>204</v>
      </c>
      <c r="B44" s="8" t="s">
        <v>175</v>
      </c>
      <c r="C44" s="8" t="s">
        <v>205</v>
      </c>
      <c r="D44" s="8" t="s">
        <v>21</v>
      </c>
      <c r="E44" s="8" t="s">
        <v>206</v>
      </c>
      <c r="F44" s="8" t="s">
        <v>207</v>
      </c>
      <c r="G44" s="8" t="s">
        <v>58</v>
      </c>
      <c r="H44" s="8" t="s">
        <v>208</v>
      </c>
      <c r="I44" s="8" t="str">
        <f aca="false">IF('VC Targets'!F12="","",'VC Targets'!F12)</f>
        <v/>
      </c>
      <c r="J44" s="8" t="str">
        <f aca="false">IF('VC Targets'!G12="","",'VC Targets'!G12)</f>
        <v/>
      </c>
      <c r="K44" s="8" t="str">
        <f aca="false">IF('VC Targets'!K12="","",'VC Targets'!K12)</f>
        <v/>
      </c>
      <c r="L44" s="9" t="str">
        <f aca="false">IF('VC Targets'!L12="","",'VC Targets'!L12)</f>
        <v/>
      </c>
    </row>
    <row r="45" customFormat="false" ht="15" hidden="false" customHeight="false" outlineLevel="0" collapsed="false">
      <c r="A45" s="7" t="s">
        <v>209</v>
      </c>
      <c r="B45" s="8" t="s">
        <v>175</v>
      </c>
      <c r="C45" s="8" t="s">
        <v>187</v>
      </c>
      <c r="D45" s="8" t="s">
        <v>21</v>
      </c>
      <c r="E45" s="8" t="s">
        <v>210</v>
      </c>
      <c r="F45" s="8" t="s">
        <v>211</v>
      </c>
      <c r="G45" s="8" t="s">
        <v>58</v>
      </c>
      <c r="H45" s="8" t="s">
        <v>37</v>
      </c>
      <c r="I45" s="8" t="str">
        <f aca="false">IF('VC Targets'!F13="","",'VC Targets'!F13)</f>
        <v/>
      </c>
      <c r="J45" s="8" t="str">
        <f aca="false">IF('VC Targets'!G13="","",'VC Targets'!G13)</f>
        <v/>
      </c>
      <c r="K45" s="8" t="str">
        <f aca="false">IF('VC Targets'!K13="","",'VC Targets'!K13)</f>
        <v/>
      </c>
      <c r="L45" s="9" t="str">
        <f aca="false">IF('VC Targets'!L13="","",'VC Targets'!L13)</f>
        <v/>
      </c>
    </row>
    <row r="46" customFormat="false" ht="23.85" hidden="false" customHeight="false" outlineLevel="0" collapsed="false">
      <c r="A46" s="7" t="s">
        <v>212</v>
      </c>
      <c r="B46" s="8" t="s">
        <v>175</v>
      </c>
      <c r="C46" s="8" t="s">
        <v>187</v>
      </c>
      <c r="D46" s="8" t="s">
        <v>21</v>
      </c>
      <c r="E46" s="8" t="s">
        <v>213</v>
      </c>
      <c r="F46" s="8" t="s">
        <v>214</v>
      </c>
      <c r="G46" s="8" t="s">
        <v>58</v>
      </c>
      <c r="H46" s="8" t="s">
        <v>215</v>
      </c>
      <c r="I46" s="8" t="str">
        <f aca="false">IF('VC Targets'!F14="","",'VC Targets'!F14)</f>
        <v/>
      </c>
      <c r="J46" s="8" t="str">
        <f aca="false">IF('VC Targets'!G14="","",'VC Targets'!G14)</f>
        <v/>
      </c>
      <c r="K46" s="8" t="str">
        <f aca="false">IF('VC Targets'!K14="","",'VC Targets'!K14)</f>
        <v/>
      </c>
      <c r="L46" s="9" t="str">
        <f aca="false">IF('VC Targets'!L14="","",'VC Targets'!L14)</f>
        <v/>
      </c>
    </row>
    <row r="47" customFormat="false" ht="23.85" hidden="false" customHeight="false" outlineLevel="0" collapsed="false">
      <c r="A47" s="7" t="s">
        <v>216</v>
      </c>
      <c r="B47" s="8" t="s">
        <v>175</v>
      </c>
      <c r="C47" s="8" t="s">
        <v>217</v>
      </c>
      <c r="D47" s="8" t="s">
        <v>218</v>
      </c>
      <c r="E47" s="8" t="s">
        <v>219</v>
      </c>
      <c r="F47" s="8" t="s">
        <v>220</v>
      </c>
      <c r="G47" s="8" t="s">
        <v>58</v>
      </c>
      <c r="H47" s="8" t="s">
        <v>221</v>
      </c>
      <c r="I47" s="8" t="str">
        <f aca="false">IF('VC Targets'!F15="","",'VC Targets'!F15)</f>
        <v/>
      </c>
      <c r="J47" s="8" t="str">
        <f aca="false">IF('VC Targets'!G15="","",'VC Targets'!G15)</f>
        <v/>
      </c>
      <c r="K47" s="8" t="str">
        <f aca="false">IF('VC Targets'!K15="","",'VC Targets'!K15)</f>
        <v/>
      </c>
      <c r="L47" s="9" t="str">
        <f aca="false">IF('VC Targets'!L15="","",'VC Targets'!L15)</f>
        <v/>
      </c>
    </row>
    <row r="48" customFormat="false" ht="23.85" hidden="false" customHeight="false" outlineLevel="0" collapsed="false">
      <c r="A48" s="7" t="s">
        <v>222</v>
      </c>
      <c r="B48" s="8" t="s">
        <v>175</v>
      </c>
      <c r="C48" s="8" t="s">
        <v>187</v>
      </c>
      <c r="D48" s="8" t="s">
        <v>21</v>
      </c>
      <c r="E48" s="8" t="s">
        <v>223</v>
      </c>
      <c r="F48" s="8" t="s">
        <v>224</v>
      </c>
      <c r="G48" s="8" t="s">
        <v>198</v>
      </c>
      <c r="H48" s="8" t="s">
        <v>37</v>
      </c>
      <c r="I48" s="8" t="str">
        <f aca="false">IF('VC Targets'!F16="","",'VC Targets'!F16)</f>
        <v/>
      </c>
      <c r="J48" s="8" t="str">
        <f aca="false">IF('VC Targets'!G16="","",'VC Targets'!G16)</f>
        <v/>
      </c>
      <c r="K48" s="8" t="str">
        <f aca="false">IF('VC Targets'!K16="","",'VC Targets'!K16)</f>
        <v/>
      </c>
      <c r="L48" s="9" t="str">
        <f aca="false">IF('VC Targets'!L16="","",'VC Targets'!L16)</f>
        <v/>
      </c>
    </row>
    <row r="49" customFormat="false" ht="23.85" hidden="false" customHeight="false" outlineLevel="0" collapsed="false">
      <c r="A49" s="7" t="s">
        <v>225</v>
      </c>
      <c r="B49" s="8" t="s">
        <v>175</v>
      </c>
      <c r="C49" s="8" t="s">
        <v>187</v>
      </c>
      <c r="D49" s="8" t="s">
        <v>226</v>
      </c>
      <c r="E49" s="8" t="s">
        <v>227</v>
      </c>
      <c r="F49" s="8" t="s">
        <v>228</v>
      </c>
      <c r="G49" s="8" t="s">
        <v>229</v>
      </c>
      <c r="H49" s="8" t="s">
        <v>230</v>
      </c>
      <c r="I49" s="8" t="str">
        <f aca="false">IF('VC Targets'!F17="","",'VC Targets'!F17)</f>
        <v/>
      </c>
      <c r="J49" s="8" t="str">
        <f aca="false">IF('VC Targets'!G17="","",'VC Targets'!G17)</f>
        <v/>
      </c>
      <c r="K49" s="8" t="str">
        <f aca="false">IF('VC Targets'!K17="","",'VC Targets'!K17)</f>
        <v/>
      </c>
      <c r="L49" s="9" t="str">
        <f aca="false">IF('VC Targets'!L17="","",'VC Targets'!L17)</f>
        <v/>
      </c>
    </row>
    <row r="50" customFormat="false" ht="15" hidden="false" customHeight="false" outlineLevel="0" collapsed="false">
      <c r="A50" s="7" t="s">
        <v>231</v>
      </c>
      <c r="B50" s="8" t="s">
        <v>175</v>
      </c>
      <c r="C50" s="8" t="s">
        <v>232</v>
      </c>
      <c r="D50" s="8" t="s">
        <v>233</v>
      </c>
      <c r="E50" s="8" t="s">
        <v>234</v>
      </c>
      <c r="F50" s="8" t="s">
        <v>235</v>
      </c>
      <c r="G50" s="8" t="s">
        <v>236</v>
      </c>
      <c r="H50" s="8" t="s">
        <v>237</v>
      </c>
      <c r="I50" s="8" t="str">
        <f aca="false">IF('VC Targets'!F18="","",'VC Targets'!F18)</f>
        <v/>
      </c>
      <c r="J50" s="8" t="str">
        <f aca="false">IF('VC Targets'!G18="","",'VC Targets'!G18)</f>
        <v/>
      </c>
      <c r="K50" s="8" t="str">
        <f aca="false">IF('VC Targets'!K18="","",'VC Targets'!K18)</f>
        <v/>
      </c>
      <c r="L50" s="9" t="str">
        <f aca="false">IF('VC Targets'!L18="","",'VC Targets'!L18)</f>
        <v/>
      </c>
    </row>
    <row r="51" customFormat="false" ht="15" hidden="false" customHeight="false" outlineLevel="0" collapsed="false">
      <c r="A51" s="7" t="s">
        <v>238</v>
      </c>
      <c r="B51" s="8" t="s">
        <v>175</v>
      </c>
      <c r="C51" s="8" t="s">
        <v>232</v>
      </c>
      <c r="D51" s="8" t="s">
        <v>233</v>
      </c>
      <c r="E51" s="8" t="s">
        <v>239</v>
      </c>
      <c r="F51" s="8" t="s">
        <v>240</v>
      </c>
      <c r="G51" s="8" t="s">
        <v>58</v>
      </c>
      <c r="H51" s="8" t="s">
        <v>241</v>
      </c>
      <c r="I51" s="8" t="str">
        <f aca="false">IF('VC Targets'!F19="","",'VC Targets'!F19)</f>
        <v/>
      </c>
      <c r="J51" s="8" t="str">
        <f aca="false">IF('VC Targets'!G19="","",'VC Targets'!G19)</f>
        <v/>
      </c>
      <c r="K51" s="8" t="str">
        <f aca="false">IF('VC Targets'!K19="","",'VC Targets'!K19)</f>
        <v/>
      </c>
      <c r="L51" s="9" t="str">
        <f aca="false">IF('VC Targets'!L19="","",'VC Targets'!L19)</f>
        <v/>
      </c>
    </row>
    <row r="52" customFormat="false" ht="15" hidden="false" customHeight="false" outlineLevel="0" collapsed="false">
      <c r="A52" s="7" t="s">
        <v>242</v>
      </c>
      <c r="B52" s="8" t="s">
        <v>175</v>
      </c>
      <c r="C52" s="8" t="s">
        <v>187</v>
      </c>
      <c r="D52" s="8" t="s">
        <v>152</v>
      </c>
      <c r="E52" s="8" t="s">
        <v>243</v>
      </c>
      <c r="F52" s="8" t="s">
        <v>244</v>
      </c>
      <c r="G52" s="8" t="s">
        <v>58</v>
      </c>
      <c r="H52" s="8" t="s">
        <v>37</v>
      </c>
      <c r="I52" s="8" t="str">
        <f aca="false">IF('VC Targets'!F20="","",'VC Targets'!F20)</f>
        <v/>
      </c>
      <c r="J52" s="8" t="str">
        <f aca="false">IF('VC Targets'!G20="","",'VC Targets'!G20)</f>
        <v/>
      </c>
      <c r="K52" s="8" t="str">
        <f aca="false">IF('VC Targets'!K20="","",'VC Targets'!K20)</f>
        <v/>
      </c>
      <c r="L52" s="9" t="str">
        <f aca="false">IF('VC Targets'!L20="","",'VC Targets'!L20)</f>
        <v/>
      </c>
    </row>
    <row r="54" customFormat="false" ht="39.75" hidden="false" customHeight="true" outlineLevel="0" collapsed="false">
      <c r="A54" s="10" t="s">
        <v>245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M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1" width="22"/>
    <col collapsed="false" customWidth="true" hidden="false" outlineLevel="0" max="2" min="2" style="11" width="14"/>
    <col collapsed="false" customWidth="true" hidden="false" outlineLevel="0" max="3" min="3" style="11" width="46"/>
    <col collapsed="false" customWidth="true" hidden="false" outlineLevel="0" max="4" min="4" style="11" width="27"/>
    <col collapsed="false" customWidth="true" hidden="false" outlineLevel="0" max="5" min="5" style="11" width="40"/>
    <col collapsed="false" customWidth="true" hidden="false" outlineLevel="0" max="6" min="6" style="11" width="10"/>
    <col collapsed="false" customWidth="true" hidden="false" outlineLevel="0" max="7" min="7" style="11" width="15"/>
    <col collapsed="false" customWidth="true" hidden="false" outlineLevel="0" max="8" min="8" style="11" width="24"/>
    <col collapsed="false" customWidth="true" hidden="false" outlineLevel="0" max="9" min="9" style="11" width="17"/>
    <col collapsed="false" customWidth="true" hidden="false" outlineLevel="0" max="10" min="10" style="11" width="13"/>
    <col collapsed="false" customWidth="true" hidden="false" outlineLevel="0" max="11" min="11" style="11" width="26"/>
    <col collapsed="false" customWidth="true" hidden="false" outlineLevel="0" max="12" min="12" style="11" width="14"/>
    <col collapsed="false" customWidth="true" hidden="false" outlineLevel="0" max="13" min="13" style="11" width="30"/>
  </cols>
  <sheetData>
    <row r="1" customFormat="false" ht="24" hidden="false" customHeight="true" outlineLevel="0" collapsed="false">
      <c r="A1" s="12" t="s">
        <v>246</v>
      </c>
      <c r="B1" s="12"/>
      <c r="C1" s="12"/>
      <c r="D1" s="12"/>
      <c r="E1" s="12"/>
      <c r="F1" s="12"/>
      <c r="G1" s="12"/>
      <c r="H1" s="12"/>
      <c r="I1" s="12"/>
      <c r="J1" s="12"/>
      <c r="K1" s="12"/>
      <c r="L1" s="12"/>
      <c r="M1" s="12"/>
    </row>
    <row r="2" customFormat="false" ht="15.75" hidden="false" customHeight="true" outlineLevel="0" collapsed="false">
      <c r="A2" s="13" t="s">
        <v>247</v>
      </c>
      <c r="B2" s="13"/>
      <c r="C2" s="13"/>
      <c r="D2" s="13"/>
      <c r="E2" s="13"/>
      <c r="F2" s="13"/>
      <c r="G2" s="13"/>
      <c r="H2" s="13"/>
      <c r="I2" s="13"/>
      <c r="J2" s="13"/>
      <c r="K2" s="13"/>
      <c r="L2" s="13"/>
      <c r="M2" s="13"/>
    </row>
    <row r="3" customFormat="false" ht="13.5" hidden="false" customHeight="true" outlineLevel="0" collapsed="false">
      <c r="A3" s="14" t="s">
        <v>248</v>
      </c>
      <c r="B3" s="14"/>
      <c r="C3" s="14"/>
      <c r="D3" s="14"/>
      <c r="E3" s="14"/>
      <c r="H3" s="15" t="s">
        <v>3</v>
      </c>
      <c r="I3" s="16" t="n">
        <f aca="false">COUNTA($A$7:$A$29)</f>
        <v>23</v>
      </c>
      <c r="J3" s="15" t="s">
        <v>4</v>
      </c>
      <c r="K3" s="16" t="n">
        <f aca="false">COUNTIF($F$7:$F$29,"High")</f>
        <v>0</v>
      </c>
      <c r="L3" s="15" t="s">
        <v>5</v>
      </c>
      <c r="M3" s="16" t="n">
        <f aca="false">COUNTA($G$7:$G$29)-COUNTIF($G$7:$G$29,"Not started")-COUNTIF($G$7:$G$29,"Pass")</f>
        <v>0</v>
      </c>
    </row>
    <row r="4" customFormat="false" ht="6" hidden="false" customHeight="true" outlineLevel="0" collapsed="false"/>
    <row r="5" customFormat="false" ht="27.75" hidden="false" customHeight="true" outlineLevel="0" collapsed="false">
      <c r="A5" s="17" t="s">
        <v>249</v>
      </c>
      <c r="B5" s="17" t="s">
        <v>250</v>
      </c>
      <c r="C5" s="17" t="s">
        <v>251</v>
      </c>
      <c r="D5" s="17" t="s">
        <v>252</v>
      </c>
      <c r="E5" s="17" t="s">
        <v>11</v>
      </c>
      <c r="F5" s="17" t="s">
        <v>14</v>
      </c>
      <c r="G5" s="17" t="s">
        <v>15</v>
      </c>
      <c r="H5" s="17" t="s">
        <v>253</v>
      </c>
      <c r="I5" s="17" t="s">
        <v>254</v>
      </c>
      <c r="J5" s="17" t="s">
        <v>255</v>
      </c>
      <c r="K5" s="17" t="s">
        <v>16</v>
      </c>
      <c r="L5" s="17" t="s">
        <v>17</v>
      </c>
      <c r="M5" s="17" t="s">
        <v>256</v>
      </c>
    </row>
    <row r="6" customFormat="false" ht="25.5" hidden="false" customHeight="true" outlineLevel="0" collapsed="false">
      <c r="A6" s="18" t="s">
        <v>257</v>
      </c>
      <c r="B6" s="19" t="s">
        <v>20</v>
      </c>
      <c r="C6" s="18" t="s">
        <v>258</v>
      </c>
      <c r="D6" s="18" t="s">
        <v>259</v>
      </c>
      <c r="E6" s="18" t="s">
        <v>36</v>
      </c>
      <c r="F6" s="20" t="s">
        <v>260</v>
      </c>
      <c r="G6" s="21" t="s">
        <v>261</v>
      </c>
      <c r="H6" s="21" t="s">
        <v>262</v>
      </c>
      <c r="I6" s="21" t="s">
        <v>263</v>
      </c>
      <c r="J6" s="22" t="n">
        <v>46280</v>
      </c>
      <c r="K6" s="21" t="s">
        <v>264</v>
      </c>
      <c r="L6" s="22" t="n">
        <v>46287</v>
      </c>
      <c r="M6" s="21" t="s">
        <v>265</v>
      </c>
    </row>
    <row r="7" customFormat="false" ht="39.75" hidden="false" customHeight="true" outlineLevel="0" collapsed="false">
      <c r="A7" s="23" t="s">
        <v>18</v>
      </c>
      <c r="B7" s="24" t="s">
        <v>20</v>
      </c>
      <c r="C7" s="25" t="s">
        <v>266</v>
      </c>
      <c r="D7" s="25" t="s">
        <v>267</v>
      </c>
      <c r="E7" s="25" t="s">
        <v>268</v>
      </c>
      <c r="F7" s="26"/>
      <c r="G7" s="27"/>
      <c r="H7" s="27"/>
      <c r="I7" s="27"/>
      <c r="J7" s="28"/>
      <c r="K7" s="27"/>
      <c r="L7" s="28"/>
      <c r="M7" s="27"/>
    </row>
    <row r="8" customFormat="false" ht="39.75" hidden="false" customHeight="true" outlineLevel="0" collapsed="false">
      <c r="A8" s="23" t="s">
        <v>26</v>
      </c>
      <c r="B8" s="24" t="s">
        <v>20</v>
      </c>
      <c r="C8" s="25" t="s">
        <v>269</v>
      </c>
      <c r="D8" s="25" t="s">
        <v>267</v>
      </c>
      <c r="E8" s="25" t="s">
        <v>270</v>
      </c>
      <c r="F8" s="26"/>
      <c r="G8" s="27"/>
      <c r="H8" s="27"/>
      <c r="I8" s="27"/>
      <c r="J8" s="28"/>
      <c r="K8" s="27"/>
      <c r="L8" s="28"/>
      <c r="M8" s="27"/>
    </row>
    <row r="9" customFormat="false" ht="39.75" hidden="false" customHeight="true" outlineLevel="0" collapsed="false">
      <c r="A9" s="23" t="s">
        <v>30</v>
      </c>
      <c r="B9" s="24" t="s">
        <v>20</v>
      </c>
      <c r="C9" s="25" t="s">
        <v>31</v>
      </c>
      <c r="D9" s="25" t="s">
        <v>267</v>
      </c>
      <c r="E9" s="25" t="s">
        <v>32</v>
      </c>
      <c r="F9" s="26"/>
      <c r="G9" s="27"/>
      <c r="H9" s="27"/>
      <c r="I9" s="27"/>
      <c r="J9" s="28"/>
      <c r="K9" s="27"/>
      <c r="L9" s="28"/>
      <c r="M9" s="27"/>
    </row>
    <row r="10" customFormat="false" ht="39.75" hidden="false" customHeight="true" outlineLevel="0" collapsed="false">
      <c r="A10" s="23" t="s">
        <v>34</v>
      </c>
      <c r="B10" s="24" t="s">
        <v>20</v>
      </c>
      <c r="C10" s="25" t="s">
        <v>271</v>
      </c>
      <c r="D10" s="25" t="s">
        <v>267</v>
      </c>
      <c r="E10" s="25" t="s">
        <v>272</v>
      </c>
      <c r="F10" s="26"/>
      <c r="G10" s="27"/>
      <c r="H10" s="27"/>
      <c r="I10" s="27"/>
      <c r="J10" s="28"/>
      <c r="K10" s="27"/>
      <c r="L10" s="28"/>
      <c r="M10" s="27"/>
    </row>
    <row r="11" customFormat="false" ht="39.75" hidden="false" customHeight="true" outlineLevel="0" collapsed="false">
      <c r="A11" s="23" t="s">
        <v>38</v>
      </c>
      <c r="B11" s="24" t="s">
        <v>20</v>
      </c>
      <c r="C11" s="25" t="s">
        <v>273</v>
      </c>
      <c r="D11" s="25" t="s">
        <v>267</v>
      </c>
      <c r="E11" s="25" t="s">
        <v>36</v>
      </c>
      <c r="F11" s="26"/>
      <c r="G11" s="27"/>
      <c r="H11" s="27"/>
      <c r="I11" s="27"/>
      <c r="J11" s="28"/>
      <c r="K11" s="27"/>
      <c r="L11" s="28"/>
      <c r="M11" s="27"/>
    </row>
    <row r="12" customFormat="false" ht="39.75" hidden="false" customHeight="true" outlineLevel="0" collapsed="false">
      <c r="A12" s="23" t="s">
        <v>41</v>
      </c>
      <c r="B12" s="24" t="s">
        <v>20</v>
      </c>
      <c r="C12" s="25" t="s">
        <v>42</v>
      </c>
      <c r="D12" s="25" t="s">
        <v>267</v>
      </c>
      <c r="E12" s="25" t="s">
        <v>36</v>
      </c>
      <c r="F12" s="26"/>
      <c r="G12" s="27"/>
      <c r="H12" s="27"/>
      <c r="I12" s="27"/>
      <c r="J12" s="28"/>
      <c r="K12" s="27"/>
      <c r="L12" s="28"/>
      <c r="M12" s="27"/>
    </row>
    <row r="13" customFormat="false" ht="39.75" hidden="false" customHeight="true" outlineLevel="0" collapsed="false">
      <c r="A13" s="23" t="s">
        <v>43</v>
      </c>
      <c r="B13" s="24" t="s">
        <v>20</v>
      </c>
      <c r="C13" s="25" t="s">
        <v>274</v>
      </c>
      <c r="D13" s="25" t="s">
        <v>267</v>
      </c>
      <c r="E13" s="25" t="s">
        <v>46</v>
      </c>
      <c r="F13" s="26"/>
      <c r="G13" s="27"/>
      <c r="H13" s="27"/>
      <c r="I13" s="27"/>
      <c r="J13" s="28"/>
      <c r="K13" s="27"/>
      <c r="L13" s="28"/>
      <c r="M13" s="27"/>
    </row>
    <row r="14" customFormat="false" ht="39.75" hidden="false" customHeight="true" outlineLevel="0" collapsed="false">
      <c r="A14" s="23" t="s">
        <v>47</v>
      </c>
      <c r="B14" s="24" t="s">
        <v>20</v>
      </c>
      <c r="C14" s="25" t="s">
        <v>275</v>
      </c>
      <c r="D14" s="25" t="s">
        <v>267</v>
      </c>
      <c r="E14" s="25" t="s">
        <v>36</v>
      </c>
      <c r="F14" s="26"/>
      <c r="G14" s="27"/>
      <c r="H14" s="27"/>
      <c r="I14" s="27"/>
      <c r="J14" s="28"/>
      <c r="K14" s="27"/>
      <c r="L14" s="28"/>
      <c r="M14" s="27"/>
    </row>
    <row r="15" customFormat="false" ht="39.75" hidden="false" customHeight="true" outlineLevel="0" collapsed="false">
      <c r="A15" s="23" t="s">
        <v>50</v>
      </c>
      <c r="B15" s="24" t="s">
        <v>20</v>
      </c>
      <c r="C15" s="25" t="s">
        <v>276</v>
      </c>
      <c r="D15" s="25" t="s">
        <v>267</v>
      </c>
      <c r="E15" s="25" t="s">
        <v>52</v>
      </c>
      <c r="F15" s="26"/>
      <c r="G15" s="27"/>
      <c r="H15" s="27"/>
      <c r="I15" s="27"/>
      <c r="J15" s="28"/>
      <c r="K15" s="27"/>
      <c r="L15" s="28"/>
      <c r="M15" s="27"/>
    </row>
    <row r="16" customFormat="false" ht="39.75" hidden="false" customHeight="true" outlineLevel="0" collapsed="false">
      <c r="A16" s="29" t="s">
        <v>54</v>
      </c>
      <c r="B16" s="30" t="s">
        <v>55</v>
      </c>
      <c r="C16" s="31" t="s">
        <v>277</v>
      </c>
      <c r="D16" s="31" t="s">
        <v>278</v>
      </c>
      <c r="E16" s="31" t="s">
        <v>57</v>
      </c>
      <c r="F16" s="26"/>
      <c r="G16" s="27"/>
      <c r="H16" s="27"/>
      <c r="I16" s="27"/>
      <c r="J16" s="28"/>
      <c r="K16" s="27"/>
      <c r="L16" s="28"/>
      <c r="M16" s="27"/>
    </row>
    <row r="17" customFormat="false" ht="39.75" hidden="false" customHeight="true" outlineLevel="0" collapsed="false">
      <c r="A17" s="29" t="s">
        <v>60</v>
      </c>
      <c r="B17" s="30" t="s">
        <v>55</v>
      </c>
      <c r="C17" s="31" t="s">
        <v>279</v>
      </c>
      <c r="D17" s="31" t="s">
        <v>280</v>
      </c>
      <c r="E17" s="31" t="s">
        <v>281</v>
      </c>
      <c r="F17" s="26"/>
      <c r="G17" s="27"/>
      <c r="H17" s="27"/>
      <c r="I17" s="27"/>
      <c r="J17" s="28"/>
      <c r="K17" s="27"/>
      <c r="L17" s="28"/>
      <c r="M17" s="27"/>
    </row>
    <row r="18" customFormat="false" ht="39.75" hidden="false" customHeight="true" outlineLevel="0" collapsed="false">
      <c r="A18" s="29" t="s">
        <v>66</v>
      </c>
      <c r="B18" s="30" t="s">
        <v>55</v>
      </c>
      <c r="C18" s="31" t="s">
        <v>282</v>
      </c>
      <c r="D18" s="31" t="s">
        <v>283</v>
      </c>
      <c r="E18" s="31" t="s">
        <v>68</v>
      </c>
      <c r="F18" s="26"/>
      <c r="G18" s="27"/>
      <c r="H18" s="27"/>
      <c r="I18" s="27"/>
      <c r="J18" s="28"/>
      <c r="K18" s="27"/>
      <c r="L18" s="28"/>
      <c r="M18" s="27"/>
    </row>
    <row r="19" customFormat="false" ht="39.75" hidden="false" customHeight="true" outlineLevel="0" collapsed="false">
      <c r="A19" s="29" t="s">
        <v>70</v>
      </c>
      <c r="B19" s="30" t="s">
        <v>55</v>
      </c>
      <c r="C19" s="31" t="s">
        <v>284</v>
      </c>
      <c r="D19" s="31" t="s">
        <v>285</v>
      </c>
      <c r="E19" s="31" t="s">
        <v>286</v>
      </c>
      <c r="F19" s="26"/>
      <c r="G19" s="27"/>
      <c r="H19" s="27"/>
      <c r="I19" s="27"/>
      <c r="J19" s="28"/>
      <c r="K19" s="27"/>
      <c r="L19" s="28"/>
      <c r="M19" s="27"/>
    </row>
    <row r="20" customFormat="false" ht="39.75" hidden="false" customHeight="true" outlineLevel="0" collapsed="false">
      <c r="A20" s="32" t="s">
        <v>73</v>
      </c>
      <c r="B20" s="33" t="s">
        <v>74</v>
      </c>
      <c r="C20" s="34" t="s">
        <v>287</v>
      </c>
      <c r="D20" s="34" t="s">
        <v>288</v>
      </c>
      <c r="E20" s="34" t="s">
        <v>289</v>
      </c>
      <c r="F20" s="26"/>
      <c r="G20" s="27"/>
      <c r="H20" s="27"/>
      <c r="I20" s="27"/>
      <c r="J20" s="28"/>
      <c r="K20" s="27"/>
      <c r="L20" s="28"/>
      <c r="M20" s="27"/>
    </row>
    <row r="21" customFormat="false" ht="39.75" hidden="false" customHeight="true" outlineLevel="0" collapsed="false">
      <c r="A21" s="32" t="s">
        <v>79</v>
      </c>
      <c r="B21" s="33" t="s">
        <v>74</v>
      </c>
      <c r="C21" s="34" t="s">
        <v>290</v>
      </c>
      <c r="D21" s="34" t="s">
        <v>291</v>
      </c>
      <c r="E21" s="34" t="s">
        <v>292</v>
      </c>
      <c r="F21" s="26"/>
      <c r="G21" s="27"/>
      <c r="H21" s="27"/>
      <c r="I21" s="27"/>
      <c r="J21" s="28"/>
      <c r="K21" s="27"/>
      <c r="L21" s="28"/>
      <c r="M21" s="27"/>
    </row>
    <row r="22" customFormat="false" ht="39.75" hidden="false" customHeight="true" outlineLevel="0" collapsed="false">
      <c r="A22" s="32" t="s">
        <v>85</v>
      </c>
      <c r="B22" s="33" t="s">
        <v>74</v>
      </c>
      <c r="C22" s="34" t="s">
        <v>293</v>
      </c>
      <c r="D22" s="34" t="s">
        <v>294</v>
      </c>
      <c r="E22" s="34" t="s">
        <v>295</v>
      </c>
      <c r="F22" s="26"/>
      <c r="G22" s="27"/>
      <c r="H22" s="27"/>
      <c r="I22" s="27"/>
      <c r="J22" s="28"/>
      <c r="K22" s="27"/>
      <c r="L22" s="28"/>
      <c r="M22" s="27"/>
    </row>
    <row r="23" customFormat="false" ht="39.75" hidden="false" customHeight="true" outlineLevel="0" collapsed="false">
      <c r="A23" s="32" t="s">
        <v>91</v>
      </c>
      <c r="B23" s="33" t="s">
        <v>74</v>
      </c>
      <c r="C23" s="34" t="s">
        <v>296</v>
      </c>
      <c r="D23" s="34" t="s">
        <v>297</v>
      </c>
      <c r="E23" s="34" t="s">
        <v>93</v>
      </c>
      <c r="F23" s="26"/>
      <c r="G23" s="27"/>
      <c r="H23" s="27"/>
      <c r="I23" s="27"/>
      <c r="J23" s="28"/>
      <c r="K23" s="27"/>
      <c r="L23" s="28"/>
      <c r="M23" s="27"/>
    </row>
    <row r="24" customFormat="false" ht="39.75" hidden="false" customHeight="true" outlineLevel="0" collapsed="false">
      <c r="A24" s="32" t="s">
        <v>95</v>
      </c>
      <c r="B24" s="33" t="s">
        <v>74</v>
      </c>
      <c r="C24" s="34" t="s">
        <v>96</v>
      </c>
      <c r="D24" s="34" t="s">
        <v>298</v>
      </c>
      <c r="E24" s="34" t="s">
        <v>97</v>
      </c>
      <c r="F24" s="26"/>
      <c r="G24" s="27"/>
      <c r="H24" s="27"/>
      <c r="I24" s="27"/>
      <c r="J24" s="28"/>
      <c r="K24" s="27"/>
      <c r="L24" s="28"/>
      <c r="M24" s="27"/>
    </row>
    <row r="25" customFormat="false" ht="39.75" hidden="false" customHeight="true" outlineLevel="0" collapsed="false">
      <c r="A25" s="32" t="s">
        <v>99</v>
      </c>
      <c r="B25" s="33" t="s">
        <v>74</v>
      </c>
      <c r="C25" s="34" t="s">
        <v>299</v>
      </c>
      <c r="D25" s="34" t="s">
        <v>300</v>
      </c>
      <c r="E25" s="34" t="s">
        <v>102</v>
      </c>
      <c r="F25" s="26"/>
      <c r="G25" s="27"/>
      <c r="H25" s="27"/>
      <c r="I25" s="27"/>
      <c r="J25" s="28"/>
      <c r="K25" s="27"/>
      <c r="L25" s="28"/>
      <c r="M25" s="27"/>
    </row>
    <row r="26" customFormat="false" ht="39.75" hidden="false" customHeight="true" outlineLevel="0" collapsed="false">
      <c r="A26" s="32" t="s">
        <v>103</v>
      </c>
      <c r="B26" s="33" t="s">
        <v>74</v>
      </c>
      <c r="C26" s="34" t="s">
        <v>301</v>
      </c>
      <c r="D26" s="34" t="s">
        <v>302</v>
      </c>
      <c r="E26" s="34" t="s">
        <v>102</v>
      </c>
      <c r="F26" s="26"/>
      <c r="G26" s="27"/>
      <c r="H26" s="27"/>
      <c r="I26" s="27"/>
      <c r="J26" s="28"/>
      <c r="K26" s="27"/>
      <c r="L26" s="28"/>
      <c r="M26" s="27"/>
    </row>
    <row r="27" customFormat="false" ht="39.75" hidden="false" customHeight="true" outlineLevel="0" collapsed="false">
      <c r="A27" s="32" t="s">
        <v>105</v>
      </c>
      <c r="B27" s="33" t="s">
        <v>74</v>
      </c>
      <c r="C27" s="34" t="s">
        <v>303</v>
      </c>
      <c r="D27" s="34" t="s">
        <v>302</v>
      </c>
      <c r="E27" s="34" t="s">
        <v>102</v>
      </c>
      <c r="F27" s="26"/>
      <c r="G27" s="27"/>
      <c r="H27" s="27"/>
      <c r="I27" s="27"/>
      <c r="J27" s="28"/>
      <c r="K27" s="27"/>
      <c r="L27" s="28"/>
      <c r="M27" s="27"/>
    </row>
    <row r="28" customFormat="false" ht="39.75" hidden="false" customHeight="true" outlineLevel="0" collapsed="false">
      <c r="A28" s="32" t="s">
        <v>108</v>
      </c>
      <c r="B28" s="33" t="s">
        <v>74</v>
      </c>
      <c r="C28" s="34" t="s">
        <v>110</v>
      </c>
      <c r="D28" s="34" t="s">
        <v>304</v>
      </c>
      <c r="E28" s="34" t="s">
        <v>305</v>
      </c>
      <c r="F28" s="26"/>
      <c r="G28" s="27"/>
      <c r="H28" s="27"/>
      <c r="I28" s="27"/>
      <c r="J28" s="28"/>
      <c r="K28" s="27"/>
      <c r="L28" s="28"/>
      <c r="M28" s="27"/>
    </row>
    <row r="29" customFormat="false" ht="39.75" hidden="false" customHeight="true" outlineLevel="0" collapsed="false">
      <c r="A29" s="32" t="s">
        <v>113</v>
      </c>
      <c r="B29" s="33" t="s">
        <v>74</v>
      </c>
      <c r="C29" s="34" t="s">
        <v>306</v>
      </c>
      <c r="D29" s="34" t="s">
        <v>294</v>
      </c>
      <c r="E29" s="34" t="s">
        <v>88</v>
      </c>
      <c r="F29" s="26"/>
      <c r="G29" s="27"/>
      <c r="H29" s="27"/>
      <c r="I29" s="27"/>
      <c r="J29" s="28"/>
      <c r="K29" s="27"/>
      <c r="L29" s="28"/>
      <c r="M29" s="27"/>
    </row>
    <row r="31" customFormat="false" ht="25.5" hidden="false" customHeight="true" outlineLevel="0" collapsed="false">
      <c r="A31" s="35" t="s">
        <v>307</v>
      </c>
      <c r="B31" s="35"/>
      <c r="C31" s="35"/>
      <c r="D31" s="35"/>
      <c r="E31" s="35"/>
      <c r="F31" s="35"/>
      <c r="G31" s="35"/>
      <c r="H31" s="35"/>
      <c r="I31" s="35"/>
      <c r="J31" s="35"/>
      <c r="K31" s="35"/>
      <c r="L31" s="35"/>
      <c r="M31" s="35"/>
    </row>
  </sheetData>
  <autoFilter ref="A5:M29"/>
  <mergeCells count="4">
    <mergeCell ref="A1:M1"/>
    <mergeCell ref="A2:M2"/>
    <mergeCell ref="A3:E3"/>
    <mergeCell ref="A31:M31"/>
  </mergeCells>
  <conditionalFormatting sqref="G6:G29">
    <cfRule type="cellIs" priority="2" operator="equal" aboveAverage="0" equalAverage="0" bottom="0" percent="0" rank="0" text="" dxfId="7">
      <formula>"Offer"</formula>
    </cfRule>
    <cfRule type="cellIs" priority="3" operator="equal" aboveAverage="0" equalAverage="0" bottom="0" percent="0" rank="0" text="" dxfId="8">
      <formula>"Interviewing"</formula>
    </cfRule>
    <cfRule type="cellIs" priority="4" operator="equal" aboveAverage="0" equalAverage="0" bottom="0" percent="0" rank="0" text="" dxfId="9">
      <formula>"Follow-up due"</formula>
    </cfRule>
    <cfRule type="cellIs" priority="5" operator="equal" aboveAverage="0" equalAverage="0" bottom="0" percent="0" rank="0" text="" dxfId="10">
      <formula>"Pass"</formula>
    </cfRule>
  </conditionalFormatting>
  <dataValidations count="2">
    <dataValidation allowBlank="true" errorStyle="stop" operator="between" showDropDown="false" showErrorMessage="false" showInputMessage="false" sqref="F6:F29" type="list">
      <formula1>"High,Medium,Low"</formula1>
      <formula2>0</formula2>
    </dataValidation>
    <dataValidation allowBlank="true" errorStyle="stop" operator="between" showDropDown="false" showErrorMessage="false" showInputMessage="false" sqref="G6:G29" type="list">
      <formula1>"Not started,Researching,Outreach sent,Chat scheduled,Chat done,Follow-up due,Interviewing,Closed list,Offer,Pass"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M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1" width="22"/>
    <col collapsed="false" customWidth="true" hidden="false" outlineLevel="0" max="2" min="2" style="11" width="14"/>
    <col collapsed="false" customWidth="true" hidden="false" outlineLevel="0" max="3" min="3" style="11" width="46"/>
    <col collapsed="false" customWidth="true" hidden="false" outlineLevel="0" max="4" min="4" style="11" width="27"/>
    <col collapsed="false" customWidth="true" hidden="false" outlineLevel="0" max="5" min="5" style="11" width="40"/>
    <col collapsed="false" customWidth="true" hidden="false" outlineLevel="0" max="6" min="6" style="11" width="10"/>
    <col collapsed="false" customWidth="true" hidden="false" outlineLevel="0" max="7" min="7" style="11" width="15"/>
    <col collapsed="false" customWidth="true" hidden="false" outlineLevel="0" max="8" min="8" style="11" width="24"/>
    <col collapsed="false" customWidth="true" hidden="false" outlineLevel="0" max="9" min="9" style="11" width="17"/>
    <col collapsed="false" customWidth="true" hidden="false" outlineLevel="0" max="10" min="10" style="11" width="13"/>
    <col collapsed="false" customWidth="true" hidden="false" outlineLevel="0" max="11" min="11" style="11" width="26"/>
    <col collapsed="false" customWidth="true" hidden="false" outlineLevel="0" max="12" min="12" style="11" width="14"/>
    <col collapsed="false" customWidth="true" hidden="false" outlineLevel="0" max="13" min="13" style="11" width="30"/>
  </cols>
  <sheetData>
    <row r="1" customFormat="false" ht="24" hidden="false" customHeight="true" outlineLevel="0" collapsed="false">
      <c r="A1" s="12" t="s">
        <v>308</v>
      </c>
      <c r="B1" s="12"/>
      <c r="C1" s="12"/>
      <c r="D1" s="12"/>
      <c r="E1" s="12"/>
      <c r="F1" s="12"/>
      <c r="G1" s="12"/>
      <c r="H1" s="12"/>
      <c r="I1" s="12"/>
      <c r="J1" s="12"/>
      <c r="K1" s="12"/>
      <c r="L1" s="12"/>
      <c r="M1" s="12"/>
    </row>
    <row r="2" customFormat="false" ht="15.75" hidden="false" customHeight="true" outlineLevel="0" collapsed="false">
      <c r="A2" s="13" t="s">
        <v>309</v>
      </c>
      <c r="B2" s="13"/>
      <c r="C2" s="13"/>
      <c r="D2" s="13"/>
      <c r="E2" s="13"/>
      <c r="F2" s="13"/>
      <c r="G2" s="13"/>
      <c r="H2" s="13"/>
      <c r="I2" s="13"/>
      <c r="J2" s="13"/>
      <c r="K2" s="13"/>
      <c r="L2" s="13"/>
      <c r="M2" s="13"/>
    </row>
    <row r="3" customFormat="false" ht="13.5" hidden="false" customHeight="true" outlineLevel="0" collapsed="false">
      <c r="A3" s="14" t="s">
        <v>310</v>
      </c>
      <c r="B3" s="14"/>
      <c r="C3" s="14"/>
      <c r="D3" s="14"/>
      <c r="E3" s="14"/>
      <c r="H3" s="15" t="s">
        <v>3</v>
      </c>
      <c r="I3" s="16" t="n">
        <f aca="false">COUNTA($A$6:$A$14)</f>
        <v>9</v>
      </c>
      <c r="J3" s="15" t="s">
        <v>4</v>
      </c>
      <c r="K3" s="16" t="n">
        <f aca="false">COUNTIF($F$6:$F$14,"High")</f>
        <v>0</v>
      </c>
      <c r="L3" s="15" t="s">
        <v>5</v>
      </c>
      <c r="M3" s="16" t="n">
        <f aca="false">COUNTA($G$6:$G$14)-COUNTIF($G$6:$G$14,"Not started")-COUNTIF($G$6:$G$14,"Pass")</f>
        <v>0</v>
      </c>
    </row>
    <row r="4" customFormat="false" ht="6" hidden="false" customHeight="true" outlineLevel="0" collapsed="false"/>
    <row r="5" customFormat="false" ht="27.75" hidden="false" customHeight="true" outlineLevel="0" collapsed="false">
      <c r="A5" s="17" t="s">
        <v>249</v>
      </c>
      <c r="B5" s="17" t="s">
        <v>311</v>
      </c>
      <c r="C5" s="17" t="s">
        <v>251</v>
      </c>
      <c r="D5" s="17" t="s">
        <v>252</v>
      </c>
      <c r="E5" s="17" t="s">
        <v>11</v>
      </c>
      <c r="F5" s="17" t="s">
        <v>14</v>
      </c>
      <c r="G5" s="17" t="s">
        <v>15</v>
      </c>
      <c r="H5" s="17" t="s">
        <v>253</v>
      </c>
      <c r="I5" s="17" t="s">
        <v>254</v>
      </c>
      <c r="J5" s="17" t="s">
        <v>255</v>
      </c>
      <c r="K5" s="17" t="s">
        <v>16</v>
      </c>
      <c r="L5" s="17" t="s">
        <v>17</v>
      </c>
      <c r="M5" s="17" t="s">
        <v>256</v>
      </c>
    </row>
    <row r="6" customFormat="false" ht="39.75" hidden="false" customHeight="true" outlineLevel="0" collapsed="false">
      <c r="A6" s="36" t="s">
        <v>117</v>
      </c>
      <c r="B6" s="37" t="s">
        <v>119</v>
      </c>
      <c r="C6" s="38" t="s">
        <v>312</v>
      </c>
      <c r="D6" s="38" t="s">
        <v>313</v>
      </c>
      <c r="E6" s="38" t="s">
        <v>122</v>
      </c>
      <c r="F6" s="26"/>
      <c r="G6" s="27"/>
      <c r="H6" s="27"/>
      <c r="I6" s="27"/>
      <c r="J6" s="28"/>
      <c r="K6" s="27"/>
      <c r="L6" s="28"/>
      <c r="M6" s="27"/>
    </row>
    <row r="7" customFormat="false" ht="39.75" hidden="false" customHeight="true" outlineLevel="0" collapsed="false">
      <c r="A7" s="36" t="s">
        <v>125</v>
      </c>
      <c r="B7" s="37" t="s">
        <v>119</v>
      </c>
      <c r="C7" s="38" t="s">
        <v>314</v>
      </c>
      <c r="D7" s="38" t="s">
        <v>315</v>
      </c>
      <c r="E7" s="38" t="s">
        <v>316</v>
      </c>
      <c r="F7" s="26"/>
      <c r="G7" s="27"/>
      <c r="H7" s="27"/>
      <c r="I7" s="27"/>
      <c r="J7" s="28"/>
      <c r="K7" s="27"/>
      <c r="L7" s="28"/>
      <c r="M7" s="27"/>
    </row>
    <row r="8" customFormat="false" ht="39.75" hidden="false" customHeight="true" outlineLevel="0" collapsed="false">
      <c r="A8" s="36" t="s">
        <v>131</v>
      </c>
      <c r="B8" s="37" t="s">
        <v>132</v>
      </c>
      <c r="C8" s="38" t="s">
        <v>134</v>
      </c>
      <c r="D8" s="38" t="s">
        <v>317</v>
      </c>
      <c r="E8" s="38" t="s">
        <v>318</v>
      </c>
      <c r="F8" s="26"/>
      <c r="G8" s="27"/>
      <c r="H8" s="27"/>
      <c r="I8" s="27"/>
      <c r="J8" s="28"/>
      <c r="K8" s="27"/>
      <c r="L8" s="28"/>
      <c r="M8" s="27"/>
    </row>
    <row r="9" customFormat="false" ht="39.75" hidden="false" customHeight="true" outlineLevel="0" collapsed="false">
      <c r="A9" s="36" t="s">
        <v>138</v>
      </c>
      <c r="B9" s="37" t="s">
        <v>139</v>
      </c>
      <c r="C9" s="38" t="s">
        <v>319</v>
      </c>
      <c r="D9" s="38" t="s">
        <v>320</v>
      </c>
      <c r="E9" s="38" t="s">
        <v>142</v>
      </c>
      <c r="F9" s="26"/>
      <c r="G9" s="27"/>
      <c r="H9" s="27"/>
      <c r="I9" s="27"/>
      <c r="J9" s="28"/>
      <c r="K9" s="27"/>
      <c r="L9" s="28"/>
      <c r="M9" s="27"/>
    </row>
    <row r="10" customFormat="false" ht="39.75" hidden="false" customHeight="true" outlineLevel="0" collapsed="false">
      <c r="A10" s="36" t="s">
        <v>144</v>
      </c>
      <c r="B10" s="37" t="s">
        <v>145</v>
      </c>
      <c r="C10" s="38" t="s">
        <v>147</v>
      </c>
      <c r="D10" s="38" t="s">
        <v>148</v>
      </c>
      <c r="E10" s="38" t="s">
        <v>149</v>
      </c>
      <c r="F10" s="26"/>
      <c r="G10" s="27"/>
      <c r="H10" s="27"/>
      <c r="I10" s="27"/>
      <c r="J10" s="28"/>
      <c r="K10" s="27"/>
      <c r="L10" s="28"/>
      <c r="M10" s="27"/>
    </row>
    <row r="11" customFormat="false" ht="39.75" hidden="false" customHeight="true" outlineLevel="0" collapsed="false">
      <c r="A11" s="36" t="s">
        <v>150</v>
      </c>
      <c r="B11" s="37" t="s">
        <v>151</v>
      </c>
      <c r="C11" s="38" t="s">
        <v>321</v>
      </c>
      <c r="D11" s="38" t="s">
        <v>322</v>
      </c>
      <c r="E11" s="38" t="s">
        <v>154</v>
      </c>
      <c r="F11" s="26"/>
      <c r="G11" s="27"/>
      <c r="H11" s="27"/>
      <c r="I11" s="27"/>
      <c r="J11" s="28"/>
      <c r="K11" s="27"/>
      <c r="L11" s="28"/>
      <c r="M11" s="27"/>
    </row>
    <row r="12" customFormat="false" ht="39.75" hidden="false" customHeight="true" outlineLevel="0" collapsed="false">
      <c r="A12" s="36" t="s">
        <v>155</v>
      </c>
      <c r="B12" s="37" t="s">
        <v>156</v>
      </c>
      <c r="C12" s="38" t="s">
        <v>323</v>
      </c>
      <c r="D12" s="38" t="s">
        <v>324</v>
      </c>
      <c r="E12" s="38" t="s">
        <v>159</v>
      </c>
      <c r="F12" s="26"/>
      <c r="G12" s="27"/>
      <c r="H12" s="27"/>
      <c r="I12" s="27"/>
      <c r="J12" s="28"/>
      <c r="K12" s="27"/>
      <c r="L12" s="28"/>
      <c r="M12" s="27"/>
    </row>
    <row r="13" customFormat="false" ht="39.75" hidden="false" customHeight="true" outlineLevel="0" collapsed="false">
      <c r="A13" s="36" t="s">
        <v>161</v>
      </c>
      <c r="B13" s="37" t="s">
        <v>162</v>
      </c>
      <c r="C13" s="38" t="s">
        <v>164</v>
      </c>
      <c r="D13" s="38" t="s">
        <v>325</v>
      </c>
      <c r="E13" s="38" t="s">
        <v>165</v>
      </c>
      <c r="F13" s="26"/>
      <c r="G13" s="27"/>
      <c r="H13" s="27"/>
      <c r="I13" s="27"/>
      <c r="J13" s="28"/>
      <c r="K13" s="27"/>
      <c r="L13" s="28"/>
      <c r="M13" s="27"/>
    </row>
    <row r="14" customFormat="false" ht="39.75" hidden="false" customHeight="true" outlineLevel="0" collapsed="false">
      <c r="A14" s="36" t="s">
        <v>168</v>
      </c>
      <c r="B14" s="37" t="s">
        <v>326</v>
      </c>
      <c r="C14" s="38" t="s">
        <v>327</v>
      </c>
      <c r="D14" s="38" t="s">
        <v>328</v>
      </c>
      <c r="E14" s="38" t="s">
        <v>329</v>
      </c>
      <c r="F14" s="26"/>
      <c r="G14" s="27"/>
      <c r="H14" s="27"/>
      <c r="I14" s="27"/>
      <c r="J14" s="28"/>
      <c r="K14" s="27"/>
      <c r="L14" s="28"/>
      <c r="M14" s="27"/>
    </row>
    <row r="16" customFormat="false" ht="25.5" hidden="false" customHeight="true" outlineLevel="0" collapsed="false">
      <c r="A16" s="35" t="s">
        <v>330</v>
      </c>
      <c r="B16" s="35"/>
      <c r="C16" s="35"/>
      <c r="D16" s="35"/>
      <c r="E16" s="35"/>
      <c r="F16" s="35"/>
      <c r="G16" s="35"/>
      <c r="H16" s="35"/>
      <c r="I16" s="35"/>
      <c r="J16" s="35"/>
      <c r="K16" s="35"/>
      <c r="L16" s="35"/>
      <c r="M16" s="35"/>
    </row>
  </sheetData>
  <autoFilter ref="A5:M14"/>
  <mergeCells count="4">
    <mergeCell ref="A1:M1"/>
    <mergeCell ref="A2:M2"/>
    <mergeCell ref="A3:E3"/>
    <mergeCell ref="A16:M16"/>
  </mergeCells>
  <conditionalFormatting sqref="G6:G14">
    <cfRule type="cellIs" priority="2" operator="equal" aboveAverage="0" equalAverage="0" bottom="0" percent="0" rank="0" text="" dxfId="7">
      <formula>"Offer"</formula>
    </cfRule>
    <cfRule type="cellIs" priority="3" operator="equal" aboveAverage="0" equalAverage="0" bottom="0" percent="0" rank="0" text="" dxfId="8">
      <formula>"Interviewing"</formula>
    </cfRule>
    <cfRule type="cellIs" priority="4" operator="equal" aboveAverage="0" equalAverage="0" bottom="0" percent="0" rank="0" text="" dxfId="9">
      <formula>"Follow-up due"</formula>
    </cfRule>
    <cfRule type="cellIs" priority="5" operator="equal" aboveAverage="0" equalAverage="0" bottom="0" percent="0" rank="0" text="" dxfId="10">
      <formula>"Pass"</formula>
    </cfRule>
  </conditionalFormatting>
  <dataValidations count="2">
    <dataValidation allowBlank="true" errorStyle="stop" operator="between" showDropDown="false" showErrorMessage="false" showInputMessage="false" sqref="F6:F14" type="list">
      <formula1>"High,Medium,Low"</formula1>
      <formula2>0</formula2>
    </dataValidation>
    <dataValidation allowBlank="true" errorStyle="stop" operator="between" showDropDown="false" showErrorMessage="false" showInputMessage="false" sqref="G6:G14" type="list">
      <formula1>"Not started,Researching,Outreach sent,Chat scheduled,Chat done,Follow-up due,Interviewing,Closed list,Offer,Pass"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4B8A"/>
    <pageSetUpPr fitToPage="false"/>
  </sheetPr>
  <dimension ref="A1:M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1" width="22"/>
    <col collapsed="false" customWidth="true" hidden="false" outlineLevel="0" max="2" min="2" style="11" width="14"/>
    <col collapsed="false" customWidth="true" hidden="false" outlineLevel="0" max="3" min="3" style="11" width="46"/>
    <col collapsed="false" customWidth="true" hidden="false" outlineLevel="0" max="4" min="4" style="11" width="27"/>
    <col collapsed="false" customWidth="true" hidden="false" outlineLevel="0" max="5" min="5" style="11" width="40"/>
    <col collapsed="false" customWidth="true" hidden="false" outlineLevel="0" max="6" min="6" style="11" width="10"/>
    <col collapsed="false" customWidth="true" hidden="false" outlineLevel="0" max="7" min="7" style="11" width="15"/>
    <col collapsed="false" customWidth="true" hidden="false" outlineLevel="0" max="8" min="8" style="11" width="24"/>
    <col collapsed="false" customWidth="true" hidden="false" outlineLevel="0" max="9" min="9" style="11" width="17"/>
    <col collapsed="false" customWidth="true" hidden="false" outlineLevel="0" max="10" min="10" style="11" width="13"/>
    <col collapsed="false" customWidth="true" hidden="false" outlineLevel="0" max="11" min="11" style="11" width="26"/>
    <col collapsed="false" customWidth="true" hidden="false" outlineLevel="0" max="12" min="12" style="11" width="14"/>
    <col collapsed="false" customWidth="true" hidden="false" outlineLevel="0" max="13" min="13" style="11" width="30"/>
  </cols>
  <sheetData>
    <row r="1" customFormat="false" ht="24" hidden="false" customHeight="true" outlineLevel="0" collapsed="false">
      <c r="A1" s="12" t="s">
        <v>331</v>
      </c>
      <c r="B1" s="12"/>
      <c r="C1" s="12"/>
      <c r="D1" s="12"/>
      <c r="E1" s="12"/>
      <c r="F1" s="12"/>
      <c r="G1" s="12"/>
      <c r="H1" s="12"/>
      <c r="I1" s="12"/>
      <c r="J1" s="12"/>
      <c r="K1" s="12"/>
      <c r="L1" s="12"/>
      <c r="M1" s="12"/>
    </row>
    <row r="2" customFormat="false" ht="15.75" hidden="false" customHeight="true" outlineLevel="0" collapsed="false">
      <c r="A2" s="13" t="s">
        <v>332</v>
      </c>
      <c r="B2" s="13"/>
      <c r="C2" s="13"/>
      <c r="D2" s="13"/>
      <c r="E2" s="13"/>
      <c r="F2" s="13"/>
      <c r="G2" s="13"/>
      <c r="H2" s="13"/>
      <c r="I2" s="13"/>
      <c r="J2" s="13"/>
      <c r="K2" s="13"/>
      <c r="L2" s="13"/>
      <c r="M2" s="13"/>
    </row>
    <row r="3" customFormat="false" ht="13.5" hidden="false" customHeight="true" outlineLevel="0" collapsed="false">
      <c r="A3" s="14" t="s">
        <v>310</v>
      </c>
      <c r="B3" s="14"/>
      <c r="C3" s="14"/>
      <c r="D3" s="14"/>
      <c r="E3" s="14"/>
      <c r="H3" s="15" t="s">
        <v>3</v>
      </c>
      <c r="I3" s="16" t="n">
        <f aca="false">COUNTA($A$6:$A$20)</f>
        <v>15</v>
      </c>
      <c r="J3" s="15" t="s">
        <v>4</v>
      </c>
      <c r="K3" s="16" t="n">
        <f aca="false">COUNTIF($F$6:$F$20,"High")</f>
        <v>0</v>
      </c>
      <c r="L3" s="15" t="s">
        <v>5</v>
      </c>
      <c r="M3" s="16" t="n">
        <f aca="false">COUNTA($G$6:$G$20)-COUNTIF($G$6:$G$20,"Not started")-COUNTIF($G$6:$G$20,"Pass")</f>
        <v>0</v>
      </c>
    </row>
    <row r="4" customFormat="false" ht="6" hidden="false" customHeight="true" outlineLevel="0" collapsed="false"/>
    <row r="5" customFormat="false" ht="27.75" hidden="false" customHeight="true" outlineLevel="0" collapsed="false">
      <c r="A5" s="17" t="s">
        <v>333</v>
      </c>
      <c r="B5" s="17" t="s">
        <v>334</v>
      </c>
      <c r="C5" s="17" t="s">
        <v>251</v>
      </c>
      <c r="D5" s="17" t="s">
        <v>252</v>
      </c>
      <c r="E5" s="17" t="s">
        <v>11</v>
      </c>
      <c r="F5" s="17" t="s">
        <v>14</v>
      </c>
      <c r="G5" s="17" t="s">
        <v>15</v>
      </c>
      <c r="H5" s="17" t="s">
        <v>253</v>
      </c>
      <c r="I5" s="17" t="s">
        <v>254</v>
      </c>
      <c r="J5" s="17" t="s">
        <v>255</v>
      </c>
      <c r="K5" s="17" t="s">
        <v>16</v>
      </c>
      <c r="L5" s="17" t="s">
        <v>17</v>
      </c>
      <c r="M5" s="17" t="s">
        <v>256</v>
      </c>
    </row>
    <row r="6" customFormat="false" ht="39.75" hidden="false" customHeight="true" outlineLevel="0" collapsed="false">
      <c r="A6" s="39" t="s">
        <v>174</v>
      </c>
      <c r="B6" s="40" t="s">
        <v>176</v>
      </c>
      <c r="C6" s="41" t="s">
        <v>335</v>
      </c>
      <c r="D6" s="41" t="s">
        <v>336</v>
      </c>
      <c r="E6" s="41" t="s">
        <v>178</v>
      </c>
      <c r="F6" s="26"/>
      <c r="G6" s="27"/>
      <c r="H6" s="27"/>
      <c r="I6" s="27"/>
      <c r="J6" s="28"/>
      <c r="K6" s="27"/>
      <c r="L6" s="28"/>
      <c r="M6" s="27"/>
    </row>
    <row r="7" customFormat="false" ht="39.75" hidden="false" customHeight="true" outlineLevel="0" collapsed="false">
      <c r="A7" s="39" t="s">
        <v>181</v>
      </c>
      <c r="B7" s="40" t="s">
        <v>182</v>
      </c>
      <c r="C7" s="41" t="s">
        <v>337</v>
      </c>
      <c r="D7" s="41" t="s">
        <v>338</v>
      </c>
      <c r="E7" s="41" t="s">
        <v>339</v>
      </c>
      <c r="F7" s="26"/>
      <c r="G7" s="27"/>
      <c r="H7" s="27"/>
      <c r="I7" s="27"/>
      <c r="J7" s="28"/>
      <c r="K7" s="27"/>
      <c r="L7" s="28"/>
      <c r="M7" s="27"/>
    </row>
    <row r="8" customFormat="false" ht="39.75" hidden="false" customHeight="true" outlineLevel="0" collapsed="false">
      <c r="A8" s="39" t="s">
        <v>186</v>
      </c>
      <c r="B8" s="40" t="s">
        <v>187</v>
      </c>
      <c r="C8" s="41" t="s">
        <v>340</v>
      </c>
      <c r="D8" s="41" t="s">
        <v>341</v>
      </c>
      <c r="E8" s="41" t="s">
        <v>189</v>
      </c>
      <c r="F8" s="26"/>
      <c r="G8" s="27"/>
      <c r="H8" s="27"/>
      <c r="I8" s="27"/>
      <c r="J8" s="28"/>
      <c r="K8" s="27"/>
      <c r="L8" s="28"/>
      <c r="M8" s="27"/>
    </row>
    <row r="9" customFormat="false" ht="39.75" hidden="false" customHeight="true" outlineLevel="0" collapsed="false">
      <c r="A9" s="39" t="s">
        <v>190</v>
      </c>
      <c r="B9" s="40" t="s">
        <v>187</v>
      </c>
      <c r="C9" s="41" t="s">
        <v>342</v>
      </c>
      <c r="D9" s="41" t="s">
        <v>343</v>
      </c>
      <c r="E9" s="41" t="s">
        <v>193</v>
      </c>
      <c r="F9" s="26"/>
      <c r="G9" s="27"/>
      <c r="H9" s="27"/>
      <c r="I9" s="27"/>
      <c r="J9" s="28"/>
      <c r="K9" s="27"/>
      <c r="L9" s="28"/>
      <c r="M9" s="27"/>
    </row>
    <row r="10" customFormat="false" ht="39.75" hidden="false" customHeight="true" outlineLevel="0" collapsed="false">
      <c r="A10" s="39" t="s">
        <v>195</v>
      </c>
      <c r="B10" s="40" t="s">
        <v>187</v>
      </c>
      <c r="C10" s="41" t="s">
        <v>344</v>
      </c>
      <c r="D10" s="41" t="s">
        <v>345</v>
      </c>
      <c r="E10" s="41" t="s">
        <v>197</v>
      </c>
      <c r="F10" s="26"/>
      <c r="G10" s="27"/>
      <c r="H10" s="27"/>
      <c r="I10" s="27"/>
      <c r="J10" s="28"/>
      <c r="K10" s="27"/>
      <c r="L10" s="28"/>
      <c r="M10" s="27"/>
    </row>
    <row r="11" customFormat="false" ht="39.75" hidden="false" customHeight="true" outlineLevel="0" collapsed="false">
      <c r="A11" s="39" t="s">
        <v>200</v>
      </c>
      <c r="B11" s="40" t="s">
        <v>187</v>
      </c>
      <c r="C11" s="41" t="s">
        <v>346</v>
      </c>
      <c r="D11" s="41" t="s">
        <v>347</v>
      </c>
      <c r="E11" s="41" t="s">
        <v>202</v>
      </c>
      <c r="F11" s="26"/>
      <c r="G11" s="27"/>
      <c r="H11" s="27"/>
      <c r="I11" s="27"/>
      <c r="J11" s="28"/>
      <c r="K11" s="27"/>
      <c r="L11" s="28"/>
      <c r="M11" s="27"/>
    </row>
    <row r="12" customFormat="false" ht="39.75" hidden="false" customHeight="true" outlineLevel="0" collapsed="false">
      <c r="A12" s="39" t="s">
        <v>204</v>
      </c>
      <c r="B12" s="40" t="s">
        <v>205</v>
      </c>
      <c r="C12" s="41" t="s">
        <v>348</v>
      </c>
      <c r="D12" s="41" t="s">
        <v>349</v>
      </c>
      <c r="E12" s="41" t="s">
        <v>207</v>
      </c>
      <c r="F12" s="26"/>
      <c r="G12" s="27"/>
      <c r="H12" s="27"/>
      <c r="I12" s="27"/>
      <c r="J12" s="28"/>
      <c r="K12" s="27"/>
      <c r="L12" s="28"/>
      <c r="M12" s="27"/>
    </row>
    <row r="13" customFormat="false" ht="39.75" hidden="false" customHeight="true" outlineLevel="0" collapsed="false">
      <c r="A13" s="39" t="s">
        <v>209</v>
      </c>
      <c r="B13" s="40" t="s">
        <v>187</v>
      </c>
      <c r="C13" s="41" t="s">
        <v>350</v>
      </c>
      <c r="D13" s="41" t="s">
        <v>343</v>
      </c>
      <c r="E13" s="41" t="s">
        <v>211</v>
      </c>
      <c r="F13" s="26"/>
      <c r="G13" s="27"/>
      <c r="H13" s="27"/>
      <c r="I13" s="27"/>
      <c r="J13" s="28"/>
      <c r="K13" s="27"/>
      <c r="L13" s="28"/>
      <c r="M13" s="27"/>
    </row>
    <row r="14" customFormat="false" ht="39.75" hidden="false" customHeight="true" outlineLevel="0" collapsed="false">
      <c r="A14" s="39" t="s">
        <v>212</v>
      </c>
      <c r="B14" s="40" t="s">
        <v>187</v>
      </c>
      <c r="C14" s="41" t="s">
        <v>351</v>
      </c>
      <c r="D14" s="41" t="s">
        <v>352</v>
      </c>
      <c r="E14" s="41" t="s">
        <v>353</v>
      </c>
      <c r="F14" s="26"/>
      <c r="G14" s="27"/>
      <c r="H14" s="27"/>
      <c r="I14" s="27"/>
      <c r="J14" s="28"/>
      <c r="K14" s="27"/>
      <c r="L14" s="28"/>
      <c r="M14" s="27"/>
    </row>
    <row r="15" customFormat="false" ht="39.75" hidden="false" customHeight="true" outlineLevel="0" collapsed="false">
      <c r="A15" s="39" t="s">
        <v>216</v>
      </c>
      <c r="B15" s="40" t="s">
        <v>217</v>
      </c>
      <c r="C15" s="41" t="s">
        <v>354</v>
      </c>
      <c r="D15" s="41" t="s">
        <v>355</v>
      </c>
      <c r="E15" s="41" t="s">
        <v>220</v>
      </c>
      <c r="F15" s="26"/>
      <c r="G15" s="27"/>
      <c r="H15" s="27"/>
      <c r="I15" s="27"/>
      <c r="J15" s="28"/>
      <c r="K15" s="27"/>
      <c r="L15" s="28"/>
      <c r="M15" s="27"/>
    </row>
    <row r="16" customFormat="false" ht="39.75" hidden="false" customHeight="true" outlineLevel="0" collapsed="false">
      <c r="A16" s="39" t="s">
        <v>222</v>
      </c>
      <c r="B16" s="40" t="s">
        <v>187</v>
      </c>
      <c r="C16" s="41" t="s">
        <v>223</v>
      </c>
      <c r="D16" s="41" t="s">
        <v>356</v>
      </c>
      <c r="E16" s="41" t="s">
        <v>224</v>
      </c>
      <c r="F16" s="26"/>
      <c r="G16" s="27"/>
      <c r="H16" s="27"/>
      <c r="I16" s="27"/>
      <c r="J16" s="28"/>
      <c r="K16" s="27"/>
      <c r="L16" s="28"/>
      <c r="M16" s="27"/>
    </row>
    <row r="17" customFormat="false" ht="39.75" hidden="false" customHeight="true" outlineLevel="0" collapsed="false">
      <c r="A17" s="39" t="s">
        <v>225</v>
      </c>
      <c r="B17" s="40" t="s">
        <v>187</v>
      </c>
      <c r="C17" s="41" t="s">
        <v>357</v>
      </c>
      <c r="D17" s="41" t="s">
        <v>358</v>
      </c>
      <c r="E17" s="41" t="s">
        <v>359</v>
      </c>
      <c r="F17" s="26"/>
      <c r="G17" s="27"/>
      <c r="H17" s="27"/>
      <c r="I17" s="27"/>
      <c r="J17" s="28"/>
      <c r="K17" s="27"/>
      <c r="L17" s="28"/>
      <c r="M17" s="27"/>
    </row>
    <row r="18" customFormat="false" ht="39.75" hidden="false" customHeight="true" outlineLevel="0" collapsed="false">
      <c r="A18" s="39" t="s">
        <v>231</v>
      </c>
      <c r="B18" s="40" t="s">
        <v>232</v>
      </c>
      <c r="C18" s="41" t="s">
        <v>360</v>
      </c>
      <c r="D18" s="41" t="s">
        <v>361</v>
      </c>
      <c r="E18" s="41" t="s">
        <v>235</v>
      </c>
      <c r="F18" s="26"/>
      <c r="G18" s="27"/>
      <c r="H18" s="27"/>
      <c r="I18" s="27"/>
      <c r="J18" s="28"/>
      <c r="K18" s="27"/>
      <c r="L18" s="28"/>
      <c r="M18" s="27"/>
    </row>
    <row r="19" customFormat="false" ht="39.75" hidden="false" customHeight="true" outlineLevel="0" collapsed="false">
      <c r="A19" s="39" t="s">
        <v>238</v>
      </c>
      <c r="B19" s="40" t="s">
        <v>232</v>
      </c>
      <c r="C19" s="41" t="s">
        <v>362</v>
      </c>
      <c r="D19" s="41" t="s">
        <v>363</v>
      </c>
      <c r="E19" s="41" t="s">
        <v>364</v>
      </c>
      <c r="F19" s="26"/>
      <c r="G19" s="27"/>
      <c r="H19" s="27"/>
      <c r="I19" s="27"/>
      <c r="J19" s="28"/>
      <c r="K19" s="27"/>
      <c r="L19" s="28"/>
      <c r="M19" s="27"/>
    </row>
    <row r="20" customFormat="false" ht="39.75" hidden="false" customHeight="true" outlineLevel="0" collapsed="false">
      <c r="A20" s="39" t="s">
        <v>242</v>
      </c>
      <c r="B20" s="40" t="s">
        <v>187</v>
      </c>
      <c r="C20" s="41" t="s">
        <v>365</v>
      </c>
      <c r="D20" s="41" t="s">
        <v>343</v>
      </c>
      <c r="E20" s="41" t="s">
        <v>244</v>
      </c>
      <c r="F20" s="26"/>
      <c r="G20" s="27"/>
      <c r="H20" s="27"/>
      <c r="I20" s="27"/>
      <c r="J20" s="28"/>
      <c r="K20" s="27"/>
      <c r="L20" s="28"/>
      <c r="M20" s="27"/>
    </row>
    <row r="22" customFormat="false" ht="30" hidden="false" customHeight="true" outlineLevel="0" collapsed="false">
      <c r="A22" s="35" t="s">
        <v>366</v>
      </c>
      <c r="B22" s="35"/>
      <c r="C22" s="35"/>
      <c r="D22" s="35"/>
      <c r="E22" s="35"/>
      <c r="F22" s="35"/>
      <c r="G22" s="35"/>
      <c r="H22" s="35"/>
      <c r="I22" s="35"/>
      <c r="J22" s="35"/>
      <c r="K22" s="35"/>
      <c r="L22" s="35"/>
      <c r="M22" s="35"/>
    </row>
  </sheetData>
  <autoFilter ref="A5:M20"/>
  <mergeCells count="4">
    <mergeCell ref="A1:M1"/>
    <mergeCell ref="A2:M2"/>
    <mergeCell ref="A3:E3"/>
    <mergeCell ref="A22:M22"/>
  </mergeCells>
  <conditionalFormatting sqref="G6:G20">
    <cfRule type="cellIs" priority="2" operator="equal" aboveAverage="0" equalAverage="0" bottom="0" percent="0" rank="0" text="" dxfId="7">
      <formula>"Offer"</formula>
    </cfRule>
    <cfRule type="cellIs" priority="3" operator="equal" aboveAverage="0" equalAverage="0" bottom="0" percent="0" rank="0" text="" dxfId="8">
      <formula>"Interviewing"</formula>
    </cfRule>
    <cfRule type="cellIs" priority="4" operator="equal" aboveAverage="0" equalAverage="0" bottom="0" percent="0" rank="0" text="" dxfId="9">
      <formula>"Follow-up due"</formula>
    </cfRule>
    <cfRule type="cellIs" priority="5" operator="equal" aboveAverage="0" equalAverage="0" bottom="0" percent="0" rank="0" text="" dxfId="10">
      <formula>"Pass"</formula>
    </cfRule>
  </conditionalFormatting>
  <dataValidations count="2">
    <dataValidation allowBlank="true" errorStyle="stop" operator="between" showDropDown="false" showErrorMessage="false" showInputMessage="false" sqref="F6:F20" type="list">
      <formula1>"High,Medium,Low"</formula1>
      <formula2>0</formula2>
    </dataValidation>
    <dataValidation allowBlank="true" errorStyle="stop" operator="between" showDropDown="false" showErrorMessage="false" showInputMessage="false" sqref="G6:G20" type="list">
      <formula1>"Not started,Researching,Outreach sent,Chat scheduled,Chat done,Follow-up due,Interviewing,Closed list,Offer,Pass"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7CC3"/>
    <pageSetUpPr fitToPage="false"/>
  </sheetPr>
  <dimension ref="A1:O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11" width="20"/>
    <col collapsed="false" customWidth="true" hidden="false" outlineLevel="0" max="3" min="3" style="11" width="12"/>
    <col collapsed="false" customWidth="true" hidden="false" outlineLevel="0" max="4" min="4" style="11" width="16"/>
    <col collapsed="false" customWidth="true" hidden="false" outlineLevel="0" max="5" min="5" style="11" width="12"/>
    <col collapsed="false" customWidth="true" hidden="false" outlineLevel="0" max="6" min="6" style="11" width="34"/>
    <col collapsed="false" customWidth="true" hidden="false" outlineLevel="0" max="7" min="7" style="11" width="36"/>
    <col collapsed="false" customWidth="true" hidden="false" outlineLevel="0" max="8" min="8" style="11" width="26"/>
    <col collapsed="false" customWidth="true" hidden="false" outlineLevel="0" max="9" min="9" style="11" width="28"/>
    <col collapsed="false" customWidth="true" hidden="false" outlineLevel="0" max="11" min="10" style="11" width="30"/>
    <col collapsed="false" customWidth="true" hidden="false" outlineLevel="0" max="13" min="12" style="11" width="26"/>
    <col collapsed="false" customWidth="true" hidden="false" outlineLevel="0" max="14" min="14" style="11" width="10"/>
    <col collapsed="false" customWidth="true" hidden="false" outlineLevel="0" max="15" min="15" style="11" width="34"/>
  </cols>
  <sheetData>
    <row r="1" customFormat="false" ht="24" hidden="false" customHeight="true" outlineLevel="0" collapsed="false">
      <c r="A1" s="12" t="s">
        <v>367</v>
      </c>
      <c r="B1" s="12"/>
      <c r="C1" s="12"/>
      <c r="D1" s="12"/>
      <c r="E1" s="12"/>
      <c r="F1" s="12"/>
      <c r="G1" s="12"/>
      <c r="H1" s="12"/>
      <c r="I1" s="12"/>
      <c r="J1" s="12"/>
      <c r="K1" s="12"/>
      <c r="L1" s="12"/>
      <c r="M1" s="12"/>
      <c r="N1" s="12"/>
      <c r="O1" s="12"/>
    </row>
    <row r="2" customFormat="false" ht="15.75" hidden="false" customHeight="true" outlineLevel="0" collapsed="false">
      <c r="A2" s="13" t="s">
        <v>368</v>
      </c>
      <c r="B2" s="13"/>
      <c r="C2" s="13"/>
      <c r="D2" s="13"/>
      <c r="E2" s="13"/>
      <c r="F2" s="13"/>
      <c r="G2" s="13"/>
      <c r="H2" s="13"/>
      <c r="I2" s="13"/>
      <c r="J2" s="13"/>
      <c r="K2" s="13"/>
      <c r="L2" s="13"/>
      <c r="M2" s="13"/>
      <c r="N2" s="13"/>
      <c r="O2" s="13"/>
    </row>
    <row r="4" customFormat="false" ht="27.75" hidden="false" customHeight="true" outlineLevel="0" collapsed="false">
      <c r="A4" s="17" t="s">
        <v>333</v>
      </c>
      <c r="B4" s="17" t="s">
        <v>369</v>
      </c>
      <c r="C4" s="17" t="s">
        <v>370</v>
      </c>
      <c r="D4" s="17" t="s">
        <v>15</v>
      </c>
      <c r="E4" s="17" t="s">
        <v>371</v>
      </c>
      <c r="F4" s="17" t="s">
        <v>372</v>
      </c>
      <c r="G4" s="17" t="s">
        <v>373</v>
      </c>
      <c r="H4" s="17" t="s">
        <v>374</v>
      </c>
      <c r="I4" s="17" t="s">
        <v>375</v>
      </c>
      <c r="J4" s="17" t="s">
        <v>376</v>
      </c>
      <c r="K4" s="17" t="s">
        <v>377</v>
      </c>
      <c r="L4" s="17" t="s">
        <v>378</v>
      </c>
      <c r="M4" s="17" t="s">
        <v>379</v>
      </c>
      <c r="N4" s="17" t="s">
        <v>14</v>
      </c>
      <c r="O4" s="17" t="s">
        <v>380</v>
      </c>
    </row>
    <row r="5" customFormat="false" ht="84" hidden="false" customHeight="true" outlineLevel="0" collapsed="false">
      <c r="A5" s="42" t="s">
        <v>195</v>
      </c>
      <c r="B5" s="43" t="s">
        <v>381</v>
      </c>
      <c r="C5" s="44" t="s">
        <v>9</v>
      </c>
      <c r="D5" s="44" t="s">
        <v>382</v>
      </c>
      <c r="E5" s="43" t="s">
        <v>383</v>
      </c>
      <c r="F5" s="43" t="s">
        <v>384</v>
      </c>
      <c r="G5" s="43" t="s">
        <v>385</v>
      </c>
      <c r="H5" s="43" t="s">
        <v>386</v>
      </c>
      <c r="I5" s="43" t="s">
        <v>387</v>
      </c>
      <c r="J5" s="43" t="s">
        <v>388</v>
      </c>
      <c r="K5" s="43" t="s">
        <v>389</v>
      </c>
      <c r="L5" s="43" t="s">
        <v>390</v>
      </c>
      <c r="M5" s="43" t="s">
        <v>391</v>
      </c>
      <c r="N5" s="44" t="s">
        <v>392</v>
      </c>
      <c r="O5" s="43" t="s">
        <v>393</v>
      </c>
    </row>
    <row r="6" customFormat="false" ht="84" hidden="false" customHeight="true" outlineLevel="0" collapsed="false">
      <c r="A6" s="42" t="s">
        <v>186</v>
      </c>
      <c r="B6" s="43" t="s">
        <v>394</v>
      </c>
      <c r="C6" s="44" t="s">
        <v>9</v>
      </c>
      <c r="D6" s="44" t="s">
        <v>382</v>
      </c>
      <c r="E6" s="43" t="s">
        <v>395</v>
      </c>
      <c r="F6" s="43" t="s">
        <v>396</v>
      </c>
      <c r="G6" s="43" t="s">
        <v>397</v>
      </c>
      <c r="H6" s="43" t="s">
        <v>398</v>
      </c>
      <c r="I6" s="43" t="s">
        <v>399</v>
      </c>
      <c r="J6" s="43" t="s">
        <v>400</v>
      </c>
      <c r="K6" s="43" t="s">
        <v>401</v>
      </c>
      <c r="L6" s="43" t="s">
        <v>402</v>
      </c>
      <c r="M6" s="43" t="s">
        <v>403</v>
      </c>
      <c r="N6" s="44" t="s">
        <v>392</v>
      </c>
      <c r="O6" s="43" t="s">
        <v>404</v>
      </c>
    </row>
    <row r="7" customFormat="false" ht="84" hidden="false" customHeight="true" outlineLevel="0" collapsed="false">
      <c r="A7" s="42" t="s">
        <v>190</v>
      </c>
      <c r="B7" s="43" t="s">
        <v>405</v>
      </c>
      <c r="C7" s="44" t="s">
        <v>9</v>
      </c>
      <c r="D7" s="44" t="s">
        <v>382</v>
      </c>
      <c r="E7" s="43" t="s">
        <v>406</v>
      </c>
      <c r="F7" s="43" t="s">
        <v>407</v>
      </c>
      <c r="G7" s="43" t="s">
        <v>408</v>
      </c>
      <c r="H7" s="43" t="s">
        <v>409</v>
      </c>
      <c r="I7" s="43" t="s">
        <v>410</v>
      </c>
      <c r="J7" s="43" t="s">
        <v>411</v>
      </c>
      <c r="K7" s="43" t="s">
        <v>412</v>
      </c>
      <c r="L7" s="43" t="s">
        <v>390</v>
      </c>
      <c r="M7" s="43" t="s">
        <v>413</v>
      </c>
      <c r="N7" s="44" t="s">
        <v>392</v>
      </c>
      <c r="O7" s="43" t="s">
        <v>414</v>
      </c>
    </row>
    <row r="8" customFormat="false" ht="84" hidden="false" customHeight="true" outlineLevel="0" collapsed="false">
      <c r="A8" s="42" t="s">
        <v>174</v>
      </c>
      <c r="B8" s="43" t="s">
        <v>394</v>
      </c>
      <c r="C8" s="44" t="s">
        <v>9</v>
      </c>
      <c r="D8" s="44" t="s">
        <v>382</v>
      </c>
      <c r="E8" s="43" t="s">
        <v>415</v>
      </c>
      <c r="F8" s="43" t="s">
        <v>416</v>
      </c>
      <c r="G8" s="43" t="s">
        <v>417</v>
      </c>
      <c r="H8" s="43" t="s">
        <v>418</v>
      </c>
      <c r="I8" s="43" t="s">
        <v>419</v>
      </c>
      <c r="J8" s="43" t="s">
        <v>420</v>
      </c>
      <c r="K8" s="43" t="s">
        <v>421</v>
      </c>
      <c r="L8" s="43" t="s">
        <v>422</v>
      </c>
      <c r="M8" s="43" t="s">
        <v>423</v>
      </c>
      <c r="N8" s="44" t="s">
        <v>392</v>
      </c>
      <c r="O8" s="43" t="s">
        <v>424</v>
      </c>
    </row>
    <row r="9" customFormat="false" ht="84" hidden="false" customHeight="true" outlineLevel="0" collapsed="false">
      <c r="A9" s="42" t="s">
        <v>209</v>
      </c>
      <c r="B9" s="43" t="s">
        <v>394</v>
      </c>
      <c r="C9" s="44" t="s">
        <v>9</v>
      </c>
      <c r="D9" s="44" t="s">
        <v>382</v>
      </c>
      <c r="E9" s="43" t="s">
        <v>395</v>
      </c>
      <c r="F9" s="43" t="s">
        <v>425</v>
      </c>
      <c r="G9" s="43" t="s">
        <v>426</v>
      </c>
      <c r="H9" s="43" t="s">
        <v>427</v>
      </c>
      <c r="I9" s="43" t="s">
        <v>428</v>
      </c>
      <c r="J9" s="43" t="s">
        <v>429</v>
      </c>
      <c r="K9" s="43" t="s">
        <v>430</v>
      </c>
      <c r="L9" s="43" t="s">
        <v>431</v>
      </c>
      <c r="M9" s="43" t="s">
        <v>432</v>
      </c>
      <c r="N9" s="44" t="s">
        <v>392</v>
      </c>
      <c r="O9" s="43"/>
    </row>
    <row r="10" customFormat="false" ht="84" hidden="false" customHeight="true" outlineLevel="0" collapsed="false">
      <c r="A10" s="42" t="s">
        <v>433</v>
      </c>
      <c r="B10" s="43" t="s">
        <v>394</v>
      </c>
      <c r="C10" s="44" t="s">
        <v>9</v>
      </c>
      <c r="D10" s="44" t="s">
        <v>434</v>
      </c>
      <c r="E10" s="43" t="s">
        <v>435</v>
      </c>
      <c r="F10" s="43" t="s">
        <v>436</v>
      </c>
      <c r="G10" s="43" t="s">
        <v>437</v>
      </c>
      <c r="H10" s="43" t="s">
        <v>438</v>
      </c>
      <c r="I10" s="43" t="s">
        <v>439</v>
      </c>
      <c r="J10" s="43" t="s">
        <v>440</v>
      </c>
      <c r="K10" s="43" t="s">
        <v>441</v>
      </c>
      <c r="L10" s="43" t="s">
        <v>390</v>
      </c>
      <c r="M10" s="43" t="s">
        <v>442</v>
      </c>
      <c r="N10" s="44" t="s">
        <v>443</v>
      </c>
      <c r="O10" s="43" t="s">
        <v>444</v>
      </c>
    </row>
    <row r="11" customFormat="false" ht="84" hidden="false" customHeight="true" outlineLevel="0" collapsed="false">
      <c r="A11" s="42" t="s">
        <v>445</v>
      </c>
      <c r="B11" s="43" t="s">
        <v>394</v>
      </c>
      <c r="C11" s="44" t="s">
        <v>9</v>
      </c>
      <c r="D11" s="44" t="s">
        <v>446</v>
      </c>
      <c r="E11" s="43" t="s">
        <v>395</v>
      </c>
      <c r="F11" s="43" t="s">
        <v>447</v>
      </c>
      <c r="G11" s="43" t="s">
        <v>448</v>
      </c>
      <c r="H11" s="43" t="s">
        <v>449</v>
      </c>
      <c r="I11" s="43" t="s">
        <v>450</v>
      </c>
      <c r="J11" s="43" t="s">
        <v>451</v>
      </c>
      <c r="K11" s="43"/>
      <c r="L11" s="43" t="s">
        <v>390</v>
      </c>
      <c r="M11" s="43" t="s">
        <v>452</v>
      </c>
      <c r="N11" s="44" t="s">
        <v>453</v>
      </c>
      <c r="O11" s="43" t="s">
        <v>454</v>
      </c>
    </row>
    <row r="12" customFormat="false" ht="84" hidden="false" customHeight="true" outlineLevel="0" collapsed="false">
      <c r="A12" s="42" t="s">
        <v>455</v>
      </c>
      <c r="B12" s="43" t="s">
        <v>394</v>
      </c>
      <c r="C12" s="44" t="s">
        <v>9</v>
      </c>
      <c r="D12" s="44" t="s">
        <v>382</v>
      </c>
      <c r="E12" s="43" t="s">
        <v>456</v>
      </c>
      <c r="F12" s="43" t="s">
        <v>457</v>
      </c>
      <c r="G12" s="43" t="s">
        <v>458</v>
      </c>
      <c r="H12" s="43" t="s">
        <v>459</v>
      </c>
      <c r="I12" s="43" t="s">
        <v>460</v>
      </c>
      <c r="J12" s="43" t="s">
        <v>461</v>
      </c>
      <c r="K12" s="43" t="s">
        <v>462</v>
      </c>
      <c r="L12" s="43" t="s">
        <v>390</v>
      </c>
      <c r="M12" s="43" t="s">
        <v>463</v>
      </c>
      <c r="N12" s="44" t="s">
        <v>443</v>
      </c>
      <c r="O12" s="43" t="s">
        <v>464</v>
      </c>
    </row>
    <row r="13" customFormat="false" ht="84" hidden="false" customHeight="true" outlineLevel="0" collapsed="false">
      <c r="A13" s="42" t="s">
        <v>212</v>
      </c>
      <c r="B13" s="43" t="s">
        <v>394</v>
      </c>
      <c r="C13" s="44" t="s">
        <v>9</v>
      </c>
      <c r="D13" s="44" t="s">
        <v>382</v>
      </c>
      <c r="E13" s="43" t="s">
        <v>406</v>
      </c>
      <c r="F13" s="43" t="s">
        <v>465</v>
      </c>
      <c r="G13" s="43" t="s">
        <v>466</v>
      </c>
      <c r="H13" s="43" t="s">
        <v>467</v>
      </c>
      <c r="I13" s="43" t="s">
        <v>468</v>
      </c>
      <c r="J13" s="43" t="s">
        <v>469</v>
      </c>
      <c r="K13" s="43"/>
      <c r="L13" s="43" t="s">
        <v>390</v>
      </c>
      <c r="M13" s="43" t="s">
        <v>470</v>
      </c>
      <c r="N13" s="44" t="s">
        <v>443</v>
      </c>
      <c r="O13" s="43" t="s">
        <v>471</v>
      </c>
    </row>
    <row r="14" customFormat="false" ht="84" hidden="false" customHeight="true" outlineLevel="0" collapsed="false">
      <c r="A14" s="42" t="s">
        <v>200</v>
      </c>
      <c r="B14" s="43" t="s">
        <v>394</v>
      </c>
      <c r="C14" s="44" t="s">
        <v>9</v>
      </c>
      <c r="D14" s="44" t="s">
        <v>382</v>
      </c>
      <c r="E14" s="43" t="s">
        <v>472</v>
      </c>
      <c r="F14" s="43" t="s">
        <v>473</v>
      </c>
      <c r="G14" s="43" t="s">
        <v>474</v>
      </c>
      <c r="H14" s="43" t="s">
        <v>475</v>
      </c>
      <c r="I14" s="43" t="s">
        <v>476</v>
      </c>
      <c r="J14" s="43" t="s">
        <v>477</v>
      </c>
      <c r="K14" s="43" t="s">
        <v>478</v>
      </c>
      <c r="L14" s="43" t="s">
        <v>479</v>
      </c>
      <c r="M14" s="43" t="s">
        <v>480</v>
      </c>
      <c r="N14" s="44" t="s">
        <v>392</v>
      </c>
      <c r="O14" s="43" t="s">
        <v>481</v>
      </c>
    </row>
    <row r="15" customFormat="false" ht="84" hidden="false" customHeight="true" outlineLevel="0" collapsed="false">
      <c r="A15" s="42" t="s">
        <v>482</v>
      </c>
      <c r="B15" s="43" t="s">
        <v>483</v>
      </c>
      <c r="C15" s="44" t="s">
        <v>9</v>
      </c>
      <c r="D15" s="44" t="s">
        <v>484</v>
      </c>
      <c r="E15" s="43" t="s">
        <v>485</v>
      </c>
      <c r="F15" s="43" t="s">
        <v>486</v>
      </c>
      <c r="G15" s="43" t="s">
        <v>487</v>
      </c>
      <c r="H15" s="43" t="s">
        <v>409</v>
      </c>
      <c r="I15" s="43" t="s">
        <v>488</v>
      </c>
      <c r="J15" s="43" t="s">
        <v>489</v>
      </c>
      <c r="K15" s="43" t="s">
        <v>490</v>
      </c>
      <c r="L15" s="43" t="s">
        <v>390</v>
      </c>
      <c r="M15" s="43" t="s">
        <v>491</v>
      </c>
      <c r="N15" s="44" t="s">
        <v>443</v>
      </c>
      <c r="O15" s="43"/>
    </row>
    <row r="16" customFormat="false" ht="84" hidden="false" customHeight="true" outlineLevel="0" collapsed="false">
      <c r="A16" s="42" t="s">
        <v>492</v>
      </c>
      <c r="B16" s="43" t="s">
        <v>394</v>
      </c>
      <c r="C16" s="44" t="s">
        <v>9</v>
      </c>
      <c r="D16" s="44" t="s">
        <v>493</v>
      </c>
      <c r="E16" s="43" t="s">
        <v>406</v>
      </c>
      <c r="F16" s="43" t="s">
        <v>494</v>
      </c>
      <c r="G16" s="43" t="s">
        <v>495</v>
      </c>
      <c r="H16" s="43" t="s">
        <v>496</v>
      </c>
      <c r="I16" s="43" t="s">
        <v>497</v>
      </c>
      <c r="J16" s="43" t="s">
        <v>498</v>
      </c>
      <c r="K16" s="43" t="s">
        <v>499</v>
      </c>
      <c r="L16" s="43" t="s">
        <v>390</v>
      </c>
      <c r="M16" s="43" t="s">
        <v>500</v>
      </c>
      <c r="N16" s="44" t="s">
        <v>453</v>
      </c>
      <c r="O16" s="43" t="s">
        <v>501</v>
      </c>
    </row>
    <row r="17" customFormat="false" ht="84" hidden="false" customHeight="true" outlineLevel="0" collapsed="false">
      <c r="A17" s="29" t="s">
        <v>502</v>
      </c>
      <c r="B17" s="31" t="s">
        <v>503</v>
      </c>
      <c r="C17" s="30" t="s">
        <v>504</v>
      </c>
      <c r="D17" s="30" t="s">
        <v>382</v>
      </c>
      <c r="E17" s="31" t="s">
        <v>505</v>
      </c>
      <c r="F17" s="31" t="s">
        <v>506</v>
      </c>
      <c r="G17" s="31" t="s">
        <v>507</v>
      </c>
      <c r="H17" s="31" t="s">
        <v>508</v>
      </c>
      <c r="I17" s="31" t="s">
        <v>509</v>
      </c>
      <c r="J17" s="31" t="s">
        <v>510</v>
      </c>
      <c r="K17" s="31" t="s">
        <v>511</v>
      </c>
      <c r="L17" s="31" t="s">
        <v>390</v>
      </c>
      <c r="M17" s="31" t="s">
        <v>512</v>
      </c>
      <c r="N17" s="30" t="s">
        <v>392</v>
      </c>
      <c r="O17" s="31" t="s">
        <v>513</v>
      </c>
    </row>
    <row r="18" customFormat="false" ht="84" hidden="false" customHeight="true" outlineLevel="0" collapsed="false">
      <c r="A18" s="29" t="s">
        <v>514</v>
      </c>
      <c r="B18" s="31" t="s">
        <v>515</v>
      </c>
      <c r="C18" s="30" t="s">
        <v>516</v>
      </c>
      <c r="D18" s="30" t="s">
        <v>382</v>
      </c>
      <c r="E18" s="31" t="s">
        <v>505</v>
      </c>
      <c r="F18" s="31" t="s">
        <v>517</v>
      </c>
      <c r="G18" s="31" t="s">
        <v>518</v>
      </c>
      <c r="H18" s="31" t="s">
        <v>519</v>
      </c>
      <c r="I18" s="31" t="s">
        <v>520</v>
      </c>
      <c r="J18" s="31" t="s">
        <v>521</v>
      </c>
      <c r="K18" s="31" t="s">
        <v>522</v>
      </c>
      <c r="L18" s="31" t="s">
        <v>390</v>
      </c>
      <c r="M18" s="31" t="s">
        <v>523</v>
      </c>
      <c r="N18" s="30" t="s">
        <v>443</v>
      </c>
      <c r="O18" s="31" t="s">
        <v>524</v>
      </c>
    </row>
    <row r="19" customFormat="false" ht="84" hidden="false" customHeight="true" outlineLevel="0" collapsed="false">
      <c r="A19" s="29" t="s">
        <v>525</v>
      </c>
      <c r="B19" s="31" t="s">
        <v>526</v>
      </c>
      <c r="C19" s="30" t="s">
        <v>527</v>
      </c>
      <c r="D19" s="30" t="s">
        <v>382</v>
      </c>
      <c r="E19" s="31" t="s">
        <v>528</v>
      </c>
      <c r="F19" s="31" t="s">
        <v>529</v>
      </c>
      <c r="G19" s="31" t="s">
        <v>530</v>
      </c>
      <c r="H19" s="31" t="s">
        <v>531</v>
      </c>
      <c r="I19" s="31" t="s">
        <v>532</v>
      </c>
      <c r="J19" s="31" t="s">
        <v>533</v>
      </c>
      <c r="K19" s="31"/>
      <c r="L19" s="31" t="s">
        <v>390</v>
      </c>
      <c r="M19" s="31"/>
      <c r="N19" s="30" t="s">
        <v>534</v>
      </c>
      <c r="O19" s="31" t="s">
        <v>535</v>
      </c>
    </row>
    <row r="20" customFormat="false" ht="84" hidden="false" customHeight="true" outlineLevel="0" collapsed="false">
      <c r="A20" s="29" t="s">
        <v>536</v>
      </c>
      <c r="B20" s="31" t="s">
        <v>537</v>
      </c>
      <c r="C20" s="30" t="s">
        <v>538</v>
      </c>
      <c r="D20" s="30" t="s">
        <v>382</v>
      </c>
      <c r="E20" s="31" t="s">
        <v>539</v>
      </c>
      <c r="F20" s="31" t="s">
        <v>540</v>
      </c>
      <c r="G20" s="31" t="s">
        <v>541</v>
      </c>
      <c r="H20" s="31" t="s">
        <v>542</v>
      </c>
      <c r="I20" s="31"/>
      <c r="J20" s="31"/>
      <c r="K20" s="31"/>
      <c r="L20" s="31" t="s">
        <v>543</v>
      </c>
      <c r="M20" s="31"/>
      <c r="N20" s="30" t="s">
        <v>544</v>
      </c>
      <c r="O20" s="31" t="s">
        <v>545</v>
      </c>
    </row>
    <row r="21" customFormat="false" ht="84" hidden="false" customHeight="true" outlineLevel="0" collapsed="false">
      <c r="A21" s="32" t="s">
        <v>222</v>
      </c>
      <c r="B21" s="34" t="s">
        <v>394</v>
      </c>
      <c r="C21" s="33" t="s">
        <v>9</v>
      </c>
      <c r="D21" s="33" t="s">
        <v>382</v>
      </c>
      <c r="E21" s="34" t="s">
        <v>546</v>
      </c>
      <c r="F21" s="34" t="s">
        <v>547</v>
      </c>
      <c r="G21" s="34" t="s">
        <v>548</v>
      </c>
      <c r="H21" s="34" t="s">
        <v>549</v>
      </c>
      <c r="I21" s="34" t="s">
        <v>550</v>
      </c>
      <c r="J21" s="34" t="s">
        <v>551</v>
      </c>
      <c r="K21" s="34" t="s">
        <v>552</v>
      </c>
      <c r="L21" s="34" t="s">
        <v>390</v>
      </c>
      <c r="M21" s="34" t="s">
        <v>553</v>
      </c>
      <c r="N21" s="33" t="s">
        <v>392</v>
      </c>
      <c r="O21" s="34" t="s">
        <v>554</v>
      </c>
    </row>
    <row r="22" customFormat="false" ht="84" hidden="false" customHeight="true" outlineLevel="0" collapsed="false">
      <c r="A22" s="32" t="s">
        <v>181</v>
      </c>
      <c r="B22" s="34" t="s">
        <v>555</v>
      </c>
      <c r="C22" s="33" t="s">
        <v>9</v>
      </c>
      <c r="D22" s="33" t="s">
        <v>382</v>
      </c>
      <c r="E22" s="34" t="s">
        <v>556</v>
      </c>
      <c r="F22" s="34" t="s">
        <v>557</v>
      </c>
      <c r="G22" s="34" t="s">
        <v>558</v>
      </c>
      <c r="H22" s="34" t="s">
        <v>559</v>
      </c>
      <c r="I22" s="34" t="s">
        <v>560</v>
      </c>
      <c r="J22" s="34" t="s">
        <v>561</v>
      </c>
      <c r="K22" s="34"/>
      <c r="L22" s="34" t="s">
        <v>390</v>
      </c>
      <c r="M22" s="34" t="s">
        <v>562</v>
      </c>
      <c r="N22" s="33" t="s">
        <v>392</v>
      </c>
      <c r="O22" s="34" t="s">
        <v>563</v>
      </c>
    </row>
    <row r="23" customFormat="false" ht="84" hidden="false" customHeight="true" outlineLevel="0" collapsed="false">
      <c r="A23" s="32" t="s">
        <v>564</v>
      </c>
      <c r="B23" s="34" t="s">
        <v>565</v>
      </c>
      <c r="C23" s="33" t="s">
        <v>9</v>
      </c>
      <c r="D23" s="33" t="s">
        <v>382</v>
      </c>
      <c r="E23" s="34" t="s">
        <v>566</v>
      </c>
      <c r="F23" s="34" t="s">
        <v>567</v>
      </c>
      <c r="G23" s="34" t="s">
        <v>568</v>
      </c>
      <c r="H23" s="34" t="s">
        <v>569</v>
      </c>
      <c r="I23" s="34" t="s">
        <v>570</v>
      </c>
      <c r="J23" s="34" t="s">
        <v>571</v>
      </c>
      <c r="K23" s="34" t="s">
        <v>572</v>
      </c>
      <c r="L23" s="34" t="s">
        <v>390</v>
      </c>
      <c r="M23" s="34" t="s">
        <v>573</v>
      </c>
      <c r="N23" s="33" t="s">
        <v>443</v>
      </c>
      <c r="O23" s="34" t="s">
        <v>574</v>
      </c>
    </row>
    <row r="24" customFormat="false" ht="84" hidden="false" customHeight="true" outlineLevel="0" collapsed="false">
      <c r="A24" s="32" t="s">
        <v>575</v>
      </c>
      <c r="B24" s="34" t="s">
        <v>394</v>
      </c>
      <c r="C24" s="33" t="s">
        <v>9</v>
      </c>
      <c r="D24" s="33" t="s">
        <v>576</v>
      </c>
      <c r="E24" s="34" t="s">
        <v>577</v>
      </c>
      <c r="F24" s="34"/>
      <c r="G24" s="34" t="s">
        <v>578</v>
      </c>
      <c r="H24" s="34" t="s">
        <v>579</v>
      </c>
      <c r="I24" s="34" t="s">
        <v>580</v>
      </c>
      <c r="J24" s="34" t="s">
        <v>581</v>
      </c>
      <c r="K24" s="34"/>
      <c r="L24" s="34" t="s">
        <v>390</v>
      </c>
      <c r="M24" s="34" t="s">
        <v>582</v>
      </c>
      <c r="N24" s="33" t="s">
        <v>453</v>
      </c>
      <c r="O24" s="34" t="s">
        <v>583</v>
      </c>
    </row>
    <row r="25" customFormat="false" ht="84" hidden="false" customHeight="true" outlineLevel="0" collapsed="false">
      <c r="A25" s="32" t="s">
        <v>584</v>
      </c>
      <c r="B25" s="34" t="s">
        <v>585</v>
      </c>
      <c r="C25" s="33" t="s">
        <v>9</v>
      </c>
      <c r="D25" s="33" t="s">
        <v>586</v>
      </c>
      <c r="E25" s="34" t="s">
        <v>587</v>
      </c>
      <c r="F25" s="34" t="s">
        <v>588</v>
      </c>
      <c r="G25" s="34" t="s">
        <v>589</v>
      </c>
      <c r="H25" s="34" t="s">
        <v>590</v>
      </c>
      <c r="I25" s="34" t="s">
        <v>591</v>
      </c>
      <c r="J25" s="34" t="s">
        <v>592</v>
      </c>
      <c r="K25" s="34"/>
      <c r="L25" s="34" t="s">
        <v>390</v>
      </c>
      <c r="M25" s="34"/>
      <c r="N25" s="33" t="s">
        <v>534</v>
      </c>
      <c r="O25" s="34" t="s">
        <v>593</v>
      </c>
    </row>
    <row r="26" customFormat="false" ht="84" hidden="false" customHeight="true" outlineLevel="0" collapsed="false">
      <c r="A26" s="32" t="s">
        <v>594</v>
      </c>
      <c r="B26" s="34" t="s">
        <v>394</v>
      </c>
      <c r="C26" s="33" t="s">
        <v>9</v>
      </c>
      <c r="D26" s="33" t="s">
        <v>595</v>
      </c>
      <c r="E26" s="34" t="s">
        <v>596</v>
      </c>
      <c r="F26" s="34"/>
      <c r="G26" s="34" t="s">
        <v>597</v>
      </c>
      <c r="H26" s="34" t="s">
        <v>598</v>
      </c>
      <c r="I26" s="34" t="s">
        <v>599</v>
      </c>
      <c r="J26" s="34" t="s">
        <v>600</v>
      </c>
      <c r="K26" s="34"/>
      <c r="L26" s="34" t="s">
        <v>390</v>
      </c>
      <c r="M26" s="34"/>
      <c r="N26" s="33" t="s">
        <v>453</v>
      </c>
      <c r="O26" s="34" t="s">
        <v>601</v>
      </c>
    </row>
    <row r="27" customFormat="false" ht="84" hidden="false" customHeight="true" outlineLevel="0" collapsed="false">
      <c r="A27" s="32" t="s">
        <v>602</v>
      </c>
      <c r="B27" s="34" t="s">
        <v>603</v>
      </c>
      <c r="C27" s="33" t="s">
        <v>9</v>
      </c>
      <c r="D27" s="33" t="s">
        <v>604</v>
      </c>
      <c r="E27" s="34" t="s">
        <v>605</v>
      </c>
      <c r="F27" s="34" t="s">
        <v>606</v>
      </c>
      <c r="G27" s="34" t="s">
        <v>607</v>
      </c>
      <c r="H27" s="34" t="s">
        <v>608</v>
      </c>
      <c r="I27" s="34" t="s">
        <v>609</v>
      </c>
      <c r="J27" s="34" t="s">
        <v>610</v>
      </c>
      <c r="K27" s="34"/>
      <c r="L27" s="34" t="s">
        <v>390</v>
      </c>
      <c r="M27" s="34"/>
      <c r="N27" s="33" t="s">
        <v>443</v>
      </c>
      <c r="O27" s="34" t="s">
        <v>611</v>
      </c>
    </row>
    <row r="28" customFormat="false" ht="84" hidden="false" customHeight="true" outlineLevel="0" collapsed="false">
      <c r="A28" s="36" t="s">
        <v>204</v>
      </c>
      <c r="B28" s="38" t="s">
        <v>612</v>
      </c>
      <c r="C28" s="37" t="s">
        <v>9</v>
      </c>
      <c r="D28" s="37" t="s">
        <v>382</v>
      </c>
      <c r="E28" s="38" t="s">
        <v>613</v>
      </c>
      <c r="F28" s="38" t="s">
        <v>614</v>
      </c>
      <c r="G28" s="38" t="s">
        <v>615</v>
      </c>
      <c r="H28" s="38" t="s">
        <v>616</v>
      </c>
      <c r="I28" s="38" t="s">
        <v>617</v>
      </c>
      <c r="J28" s="38" t="s">
        <v>618</v>
      </c>
      <c r="K28" s="38" t="s">
        <v>619</v>
      </c>
      <c r="L28" s="38" t="s">
        <v>620</v>
      </c>
      <c r="M28" s="38" t="s">
        <v>207</v>
      </c>
      <c r="N28" s="37" t="s">
        <v>392</v>
      </c>
      <c r="O28" s="38" t="s">
        <v>621</v>
      </c>
    </row>
    <row r="29" customFormat="false" ht="84" hidden="false" customHeight="true" outlineLevel="0" collapsed="false">
      <c r="A29" s="36" t="s">
        <v>622</v>
      </c>
      <c r="B29" s="38" t="s">
        <v>623</v>
      </c>
      <c r="C29" s="37" t="s">
        <v>9</v>
      </c>
      <c r="D29" s="37" t="s">
        <v>624</v>
      </c>
      <c r="E29" s="38" t="s">
        <v>232</v>
      </c>
      <c r="F29" s="38" t="s">
        <v>625</v>
      </c>
      <c r="G29" s="38" t="s">
        <v>626</v>
      </c>
      <c r="H29" s="38" t="s">
        <v>627</v>
      </c>
      <c r="I29" s="38" t="s">
        <v>628</v>
      </c>
      <c r="J29" s="38" t="s">
        <v>629</v>
      </c>
      <c r="K29" s="38"/>
      <c r="L29" s="38" t="s">
        <v>630</v>
      </c>
      <c r="M29" s="38"/>
      <c r="N29" s="37" t="s">
        <v>453</v>
      </c>
      <c r="O29" s="38" t="s">
        <v>631</v>
      </c>
    </row>
    <row r="30" customFormat="false" ht="84" hidden="false" customHeight="true" outlineLevel="0" collapsed="false">
      <c r="A30" s="36" t="s">
        <v>632</v>
      </c>
      <c r="B30" s="38" t="s">
        <v>381</v>
      </c>
      <c r="C30" s="37" t="s">
        <v>9</v>
      </c>
      <c r="D30" s="37" t="s">
        <v>434</v>
      </c>
      <c r="E30" s="38" t="s">
        <v>633</v>
      </c>
      <c r="F30" s="38" t="s">
        <v>634</v>
      </c>
      <c r="G30" s="38" t="s">
        <v>635</v>
      </c>
      <c r="H30" s="38" t="s">
        <v>636</v>
      </c>
      <c r="I30" s="38" t="s">
        <v>637</v>
      </c>
      <c r="J30" s="38" t="s">
        <v>638</v>
      </c>
      <c r="K30" s="38" t="s">
        <v>639</v>
      </c>
      <c r="L30" s="38"/>
      <c r="M30" s="38" t="s">
        <v>640</v>
      </c>
      <c r="N30" s="37" t="s">
        <v>443</v>
      </c>
      <c r="O30" s="38" t="s">
        <v>641</v>
      </c>
    </row>
    <row r="31" customFormat="false" ht="84" hidden="false" customHeight="true" outlineLevel="0" collapsed="false">
      <c r="A31" s="36" t="s">
        <v>642</v>
      </c>
      <c r="B31" s="38" t="s">
        <v>643</v>
      </c>
      <c r="C31" s="37" t="s">
        <v>9</v>
      </c>
      <c r="D31" s="37" t="s">
        <v>382</v>
      </c>
      <c r="E31" s="38" t="s">
        <v>505</v>
      </c>
      <c r="F31" s="38" t="s">
        <v>644</v>
      </c>
      <c r="G31" s="38" t="s">
        <v>645</v>
      </c>
      <c r="H31" s="38" t="s">
        <v>646</v>
      </c>
      <c r="I31" s="38" t="s">
        <v>647</v>
      </c>
      <c r="J31" s="38" t="s">
        <v>648</v>
      </c>
      <c r="K31" s="38" t="s">
        <v>649</v>
      </c>
      <c r="L31" s="38" t="s">
        <v>650</v>
      </c>
      <c r="M31" s="38" t="s">
        <v>651</v>
      </c>
      <c r="N31" s="37" t="s">
        <v>443</v>
      </c>
      <c r="O31" s="38"/>
    </row>
    <row r="32" customFormat="false" ht="84" hidden="false" customHeight="true" outlineLevel="0" collapsed="false">
      <c r="A32" s="36" t="s">
        <v>652</v>
      </c>
      <c r="B32" s="38" t="s">
        <v>653</v>
      </c>
      <c r="C32" s="37" t="s">
        <v>9</v>
      </c>
      <c r="D32" s="37" t="s">
        <v>382</v>
      </c>
      <c r="E32" s="38" t="s">
        <v>556</v>
      </c>
      <c r="F32" s="38" t="s">
        <v>654</v>
      </c>
      <c r="G32" s="38" t="s">
        <v>655</v>
      </c>
      <c r="H32" s="38" t="s">
        <v>656</v>
      </c>
      <c r="I32" s="38" t="s">
        <v>657</v>
      </c>
      <c r="J32" s="38" t="s">
        <v>658</v>
      </c>
      <c r="K32" s="38" t="s">
        <v>659</v>
      </c>
      <c r="L32" s="38"/>
      <c r="M32" s="38"/>
      <c r="N32" s="37" t="s">
        <v>453</v>
      </c>
      <c r="O32" s="38" t="s">
        <v>660</v>
      </c>
    </row>
    <row r="33" customFormat="false" ht="84" hidden="false" customHeight="true" outlineLevel="0" collapsed="false">
      <c r="A33" s="36" t="s">
        <v>661</v>
      </c>
      <c r="B33" s="38" t="s">
        <v>394</v>
      </c>
      <c r="C33" s="37" t="s">
        <v>9</v>
      </c>
      <c r="D33" s="37" t="s">
        <v>382</v>
      </c>
      <c r="E33" s="38" t="s">
        <v>662</v>
      </c>
      <c r="F33" s="38" t="s">
        <v>663</v>
      </c>
      <c r="G33" s="38" t="s">
        <v>664</v>
      </c>
      <c r="H33" s="38" t="s">
        <v>665</v>
      </c>
      <c r="I33" s="38" t="s">
        <v>666</v>
      </c>
      <c r="J33" s="38" t="s">
        <v>667</v>
      </c>
      <c r="K33" s="38" t="s">
        <v>668</v>
      </c>
      <c r="L33" s="38" t="s">
        <v>669</v>
      </c>
      <c r="M33" s="38" t="s">
        <v>670</v>
      </c>
      <c r="N33" s="37" t="s">
        <v>443</v>
      </c>
      <c r="O33" s="38"/>
    </row>
    <row r="34" customFormat="false" ht="84" hidden="false" customHeight="true" outlineLevel="0" collapsed="false">
      <c r="A34" s="36" t="s">
        <v>671</v>
      </c>
      <c r="B34" s="38" t="s">
        <v>672</v>
      </c>
      <c r="C34" s="37" t="s">
        <v>673</v>
      </c>
      <c r="D34" s="37" t="s">
        <v>674</v>
      </c>
      <c r="E34" s="38" t="s">
        <v>675</v>
      </c>
      <c r="F34" s="38" t="s">
        <v>676</v>
      </c>
      <c r="G34" s="38" t="s">
        <v>677</v>
      </c>
      <c r="H34" s="38" t="s">
        <v>678</v>
      </c>
      <c r="I34" s="38" t="s">
        <v>679</v>
      </c>
      <c r="J34" s="38" t="s">
        <v>680</v>
      </c>
      <c r="K34" s="38" t="s">
        <v>681</v>
      </c>
      <c r="L34" s="38" t="s">
        <v>682</v>
      </c>
      <c r="M34" s="38"/>
      <c r="N34" s="37" t="s">
        <v>453</v>
      </c>
      <c r="O34" s="38"/>
    </row>
    <row r="35" customFormat="false" ht="84" hidden="false" customHeight="true" outlineLevel="0" collapsed="false">
      <c r="A35" s="36" t="s">
        <v>683</v>
      </c>
      <c r="B35" s="38" t="s">
        <v>684</v>
      </c>
      <c r="C35" s="37" t="s">
        <v>685</v>
      </c>
      <c r="D35" s="37" t="s">
        <v>382</v>
      </c>
      <c r="E35" s="38" t="s">
        <v>383</v>
      </c>
      <c r="F35" s="38" t="s">
        <v>686</v>
      </c>
      <c r="G35" s="38" t="s">
        <v>687</v>
      </c>
      <c r="H35" s="38" t="s">
        <v>688</v>
      </c>
      <c r="I35" s="38" t="s">
        <v>689</v>
      </c>
      <c r="J35" s="38" t="s">
        <v>690</v>
      </c>
      <c r="K35" s="38"/>
      <c r="L35" s="38"/>
      <c r="M35" s="38" t="s">
        <v>691</v>
      </c>
      <c r="N35" s="37" t="s">
        <v>453</v>
      </c>
      <c r="O35" s="38" t="s">
        <v>692</v>
      </c>
    </row>
    <row r="36" customFormat="false" ht="84" hidden="false" customHeight="true" outlineLevel="0" collapsed="false">
      <c r="A36" s="36" t="s">
        <v>693</v>
      </c>
      <c r="B36" s="38" t="s">
        <v>694</v>
      </c>
      <c r="C36" s="37" t="s">
        <v>685</v>
      </c>
      <c r="D36" s="37" t="s">
        <v>382</v>
      </c>
      <c r="E36" s="38" t="s">
        <v>695</v>
      </c>
      <c r="F36" s="38" t="s">
        <v>696</v>
      </c>
      <c r="G36" s="38" t="s">
        <v>697</v>
      </c>
      <c r="H36" s="38" t="s">
        <v>698</v>
      </c>
      <c r="I36" s="38" t="s">
        <v>699</v>
      </c>
      <c r="J36" s="38" t="s">
        <v>700</v>
      </c>
      <c r="K36" s="38"/>
      <c r="L36" s="38"/>
      <c r="M36" s="38"/>
      <c r="N36" s="37" t="s">
        <v>453</v>
      </c>
      <c r="O36" s="38" t="s">
        <v>701</v>
      </c>
    </row>
    <row r="37" customFormat="false" ht="84" hidden="false" customHeight="true" outlineLevel="0" collapsed="false">
      <c r="A37" s="36" t="s">
        <v>702</v>
      </c>
      <c r="B37" s="38" t="s">
        <v>703</v>
      </c>
      <c r="C37" s="37" t="s">
        <v>516</v>
      </c>
      <c r="D37" s="37" t="s">
        <v>382</v>
      </c>
      <c r="E37" s="38"/>
      <c r="F37" s="38" t="s">
        <v>704</v>
      </c>
      <c r="G37" s="38" t="s">
        <v>705</v>
      </c>
      <c r="H37" s="38" t="s">
        <v>706</v>
      </c>
      <c r="I37" s="38" t="s">
        <v>707</v>
      </c>
      <c r="J37" s="38" t="s">
        <v>708</v>
      </c>
      <c r="K37" s="38"/>
      <c r="L37" s="38"/>
      <c r="M37" s="38"/>
      <c r="N37" s="37" t="s">
        <v>534</v>
      </c>
      <c r="O37" s="38" t="s">
        <v>709</v>
      </c>
    </row>
    <row r="38" customFormat="false" ht="84" hidden="false" customHeight="true" outlineLevel="0" collapsed="false">
      <c r="A38" s="36" t="s">
        <v>710</v>
      </c>
      <c r="B38" s="38" t="s">
        <v>711</v>
      </c>
      <c r="C38" s="37" t="s">
        <v>712</v>
      </c>
      <c r="D38" s="37" t="s">
        <v>713</v>
      </c>
      <c r="E38" s="38" t="s">
        <v>714</v>
      </c>
      <c r="F38" s="38" t="s">
        <v>715</v>
      </c>
      <c r="G38" s="38" t="s">
        <v>716</v>
      </c>
      <c r="H38" s="38" t="s">
        <v>542</v>
      </c>
      <c r="I38" s="38"/>
      <c r="J38" s="38" t="s">
        <v>717</v>
      </c>
      <c r="K38" s="38"/>
      <c r="L38" s="38"/>
      <c r="M38" s="38"/>
      <c r="N38" s="37" t="s">
        <v>534</v>
      </c>
      <c r="O38" s="38" t="s">
        <v>718</v>
      </c>
    </row>
    <row r="39" customFormat="false" ht="84" hidden="false" customHeight="true" outlineLevel="0" collapsed="false">
      <c r="A39" s="45" t="s">
        <v>719</v>
      </c>
      <c r="B39" s="46" t="s">
        <v>720</v>
      </c>
      <c r="C39" s="47" t="s">
        <v>721</v>
      </c>
      <c r="D39" s="47" t="s">
        <v>382</v>
      </c>
      <c r="E39" s="46" t="s">
        <v>722</v>
      </c>
      <c r="F39" s="46" t="s">
        <v>723</v>
      </c>
      <c r="G39" s="46"/>
      <c r="H39" s="46" t="s">
        <v>542</v>
      </c>
      <c r="I39" s="46" t="s">
        <v>667</v>
      </c>
      <c r="J39" s="46" t="s">
        <v>724</v>
      </c>
      <c r="K39" s="46"/>
      <c r="L39" s="46" t="s">
        <v>725</v>
      </c>
      <c r="M39" s="46" t="s">
        <v>726</v>
      </c>
      <c r="N39" s="47" t="s">
        <v>534</v>
      </c>
      <c r="O39" s="46" t="s">
        <v>727</v>
      </c>
    </row>
    <row r="40" customFormat="false" ht="84" hidden="false" customHeight="true" outlineLevel="0" collapsed="false">
      <c r="A40" s="45" t="s">
        <v>728</v>
      </c>
      <c r="B40" s="46" t="s">
        <v>729</v>
      </c>
      <c r="C40" s="47" t="s">
        <v>730</v>
      </c>
      <c r="D40" s="47" t="s">
        <v>731</v>
      </c>
      <c r="E40" s="46"/>
      <c r="F40" s="46" t="s">
        <v>732</v>
      </c>
      <c r="G40" s="46" t="s">
        <v>733</v>
      </c>
      <c r="H40" s="46" t="s">
        <v>734</v>
      </c>
      <c r="I40" s="46"/>
      <c r="J40" s="46" t="s">
        <v>735</v>
      </c>
      <c r="K40" s="46"/>
      <c r="L40" s="46" t="s">
        <v>736</v>
      </c>
      <c r="M40" s="46"/>
      <c r="N40" s="47" t="s">
        <v>534</v>
      </c>
      <c r="O40" s="46" t="s">
        <v>737</v>
      </c>
    </row>
    <row r="41" customFormat="false" ht="84" hidden="false" customHeight="true" outlineLevel="0" collapsed="false">
      <c r="A41" s="45" t="s">
        <v>738</v>
      </c>
      <c r="B41" s="46" t="s">
        <v>394</v>
      </c>
      <c r="C41" s="47" t="s">
        <v>9</v>
      </c>
      <c r="D41" s="47" t="s">
        <v>739</v>
      </c>
      <c r="E41" s="46"/>
      <c r="F41" s="46" t="s">
        <v>740</v>
      </c>
      <c r="G41" s="46" t="s">
        <v>741</v>
      </c>
      <c r="H41" s="46" t="s">
        <v>742</v>
      </c>
      <c r="I41" s="46"/>
      <c r="J41" s="46"/>
      <c r="K41" s="46"/>
      <c r="L41" s="46"/>
      <c r="M41" s="46"/>
      <c r="N41" s="47" t="s">
        <v>544</v>
      </c>
      <c r="O41" s="46" t="s">
        <v>743</v>
      </c>
    </row>
    <row r="42" customFormat="false" ht="84" hidden="false" customHeight="true" outlineLevel="0" collapsed="false">
      <c r="A42" s="45" t="s">
        <v>744</v>
      </c>
      <c r="B42" s="46" t="s">
        <v>745</v>
      </c>
      <c r="C42" s="47" t="s">
        <v>538</v>
      </c>
      <c r="D42" s="47" t="s">
        <v>746</v>
      </c>
      <c r="E42" s="46"/>
      <c r="F42" s="46"/>
      <c r="G42" s="46" t="s">
        <v>747</v>
      </c>
      <c r="H42" s="46" t="s">
        <v>748</v>
      </c>
      <c r="I42" s="46" t="s">
        <v>749</v>
      </c>
      <c r="J42" s="46"/>
      <c r="K42" s="46"/>
      <c r="L42" s="46"/>
      <c r="M42" s="46"/>
      <c r="N42" s="47" t="s">
        <v>544</v>
      </c>
      <c r="O42" s="46" t="s">
        <v>750</v>
      </c>
    </row>
    <row r="43" customFormat="false" ht="84" hidden="false" customHeight="true" outlineLevel="0" collapsed="false">
      <c r="A43" s="45" t="s">
        <v>751</v>
      </c>
      <c r="B43" s="46" t="s">
        <v>394</v>
      </c>
      <c r="C43" s="47" t="s">
        <v>9</v>
      </c>
      <c r="D43" s="47" t="s">
        <v>752</v>
      </c>
      <c r="E43" s="46"/>
      <c r="F43" s="46" t="s">
        <v>753</v>
      </c>
      <c r="G43" s="46"/>
      <c r="H43" s="46" t="s">
        <v>754</v>
      </c>
      <c r="I43" s="46"/>
      <c r="J43" s="46"/>
      <c r="K43" s="46" t="s">
        <v>755</v>
      </c>
      <c r="L43" s="46"/>
      <c r="M43" s="46"/>
      <c r="N43" s="47" t="s">
        <v>544</v>
      </c>
      <c r="O43" s="46" t="s">
        <v>756</v>
      </c>
    </row>
    <row r="44" customFormat="false" ht="84" hidden="false" customHeight="true" outlineLevel="0" collapsed="false">
      <c r="A44" s="45" t="s">
        <v>757</v>
      </c>
      <c r="B44" s="46" t="s">
        <v>394</v>
      </c>
      <c r="C44" s="47" t="s">
        <v>9</v>
      </c>
      <c r="D44" s="47" t="s">
        <v>752</v>
      </c>
      <c r="E44" s="46"/>
      <c r="F44" s="46" t="s">
        <v>758</v>
      </c>
      <c r="G44" s="46" t="s">
        <v>759</v>
      </c>
      <c r="H44" s="46" t="s">
        <v>760</v>
      </c>
      <c r="I44" s="46"/>
      <c r="J44" s="46"/>
      <c r="K44" s="46" t="s">
        <v>761</v>
      </c>
      <c r="L44" s="46"/>
      <c r="M44" s="46"/>
      <c r="N44" s="47" t="s">
        <v>544</v>
      </c>
      <c r="O44" s="46"/>
    </row>
    <row r="45" customFormat="false" ht="84" hidden="false" customHeight="true" outlineLevel="0" collapsed="false">
      <c r="A45" s="45" t="s">
        <v>762</v>
      </c>
      <c r="B45" s="46" t="s">
        <v>394</v>
      </c>
      <c r="C45" s="47" t="s">
        <v>9</v>
      </c>
      <c r="D45" s="47" t="s">
        <v>763</v>
      </c>
      <c r="E45" s="46"/>
      <c r="F45" s="46" t="s">
        <v>764</v>
      </c>
      <c r="G45" s="46" t="s">
        <v>765</v>
      </c>
      <c r="H45" s="46" t="s">
        <v>766</v>
      </c>
      <c r="I45" s="46" t="s">
        <v>767</v>
      </c>
      <c r="J45" s="46" t="s">
        <v>768</v>
      </c>
      <c r="K45" s="46"/>
      <c r="L45" s="46"/>
      <c r="M45" s="46"/>
      <c r="N45" s="47" t="s">
        <v>544</v>
      </c>
      <c r="O45" s="46" t="s">
        <v>769</v>
      </c>
    </row>
    <row r="46" customFormat="false" ht="84" hidden="false" customHeight="true" outlineLevel="0" collapsed="false">
      <c r="A46" s="45" t="s">
        <v>770</v>
      </c>
      <c r="B46" s="46" t="s">
        <v>771</v>
      </c>
      <c r="C46" s="47" t="s">
        <v>538</v>
      </c>
      <c r="D46" s="47" t="s">
        <v>772</v>
      </c>
      <c r="E46" s="46"/>
      <c r="F46" s="46"/>
      <c r="G46" s="46"/>
      <c r="H46" s="46" t="s">
        <v>773</v>
      </c>
      <c r="I46" s="46"/>
      <c r="J46" s="46"/>
      <c r="K46" s="46" t="s">
        <v>774</v>
      </c>
      <c r="L46" s="46"/>
      <c r="M46" s="46"/>
      <c r="N46" s="47" t="s">
        <v>544</v>
      </c>
      <c r="O46" s="46" t="s">
        <v>775</v>
      </c>
    </row>
    <row r="48" customFormat="false" ht="33.75" hidden="false" customHeight="true" outlineLevel="0" collapsed="false">
      <c r="A48" s="35" t="s">
        <v>776</v>
      </c>
      <c r="B48" s="35"/>
      <c r="C48" s="35"/>
      <c r="D48" s="35"/>
      <c r="E48" s="35"/>
      <c r="F48" s="35"/>
      <c r="G48" s="35"/>
      <c r="H48" s="35"/>
      <c r="I48" s="35"/>
      <c r="J48" s="35"/>
      <c r="K48" s="35"/>
      <c r="L48" s="35"/>
      <c r="M48" s="35"/>
      <c r="N48" s="35"/>
      <c r="O48" s="35"/>
    </row>
  </sheetData>
  <autoFilter ref="A4:O46"/>
  <mergeCells count="3">
    <mergeCell ref="A1:O1"/>
    <mergeCell ref="A2:O2"/>
    <mergeCell ref="A48:O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B7D6E"/>
    <pageSetUpPr fitToPage="false"/>
  </sheetPr>
  <dimension ref="A1:K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20"/>
    <col collapsed="false" customWidth="true" hidden="false" outlineLevel="0" max="3" min="3" style="0" width="44"/>
    <col collapsed="false" customWidth="true" hidden="false" outlineLevel="0" max="4" min="4" style="0" width="11"/>
    <col collapsed="false" customWidth="true" hidden="false" outlineLevel="0" max="5" min="5" style="0" width="40"/>
    <col collapsed="false" customWidth="true" hidden="false" outlineLevel="0" max="6" min="6" style="0" width="32"/>
    <col collapsed="false" customWidth="true" hidden="false" outlineLevel="0" max="7" min="7" style="0" width="24"/>
    <col collapsed="false" customWidth="true" hidden="false" outlineLevel="0" max="8" min="8" style="0" width="14"/>
    <col collapsed="false" customWidth="true" hidden="false" outlineLevel="0" max="9" min="9" style="0" width="12"/>
    <col collapsed="false" customWidth="true" hidden="false" outlineLevel="0" max="10" min="10" style="0" width="24"/>
    <col collapsed="false" customWidth="true" hidden="false" outlineLevel="0" max="11" min="11" style="0" width="28"/>
  </cols>
  <sheetData>
    <row r="1" customFormat="false" ht="24" hidden="false" customHeight="true" outlineLevel="0" collapsed="false">
      <c r="A1" s="1" t="s">
        <v>777</v>
      </c>
    </row>
    <row r="2" customFormat="false" ht="15.75" hidden="false" customHeight="true" outlineLevel="0" collapsed="false">
      <c r="A2" s="2" t="s">
        <v>778</v>
      </c>
    </row>
    <row r="3" customFormat="false" ht="13.5" hidden="false" customHeight="true" outlineLevel="0" collapsed="false">
      <c r="A3" s="3" t="s">
        <v>779</v>
      </c>
      <c r="E3" s="4" t="s">
        <v>780</v>
      </c>
      <c r="F3" s="5" t="n">
        <f aca="false">COUNTA($A$6:$A$62)</f>
        <v>57</v>
      </c>
    </row>
    <row r="4" customFormat="false" ht="6" hidden="false" customHeight="true" outlineLevel="0" collapsed="false"/>
    <row r="5" customFormat="false" ht="27.75" hidden="false" customHeight="true" outlineLevel="0" collapsed="false">
      <c r="A5" s="6" t="s">
        <v>781</v>
      </c>
      <c r="B5" s="6" t="s">
        <v>249</v>
      </c>
      <c r="C5" s="6" t="s">
        <v>782</v>
      </c>
      <c r="D5" s="6" t="s">
        <v>7</v>
      </c>
      <c r="E5" s="6" t="s">
        <v>783</v>
      </c>
      <c r="F5" s="6" t="s">
        <v>784</v>
      </c>
      <c r="G5" s="6" t="s">
        <v>785</v>
      </c>
      <c r="H5" s="6" t="s">
        <v>15</v>
      </c>
      <c r="I5" s="6" t="s">
        <v>255</v>
      </c>
      <c r="J5" s="6" t="s">
        <v>16</v>
      </c>
      <c r="K5" s="6" t="s">
        <v>256</v>
      </c>
    </row>
    <row r="6" customFormat="false" ht="15" hidden="false" customHeight="false" outlineLevel="0" collapsed="false">
      <c r="A6" s="7" t="s">
        <v>786</v>
      </c>
      <c r="B6" s="8" t="s">
        <v>174</v>
      </c>
      <c r="C6" s="8" t="s">
        <v>787</v>
      </c>
      <c r="D6" s="8" t="s">
        <v>175</v>
      </c>
      <c r="E6" s="8" t="s">
        <v>788</v>
      </c>
      <c r="F6" s="8" t="s">
        <v>789</v>
      </c>
      <c r="G6" s="48"/>
      <c r="H6" s="48"/>
      <c r="I6" s="49"/>
      <c r="J6" s="48"/>
      <c r="K6" s="48"/>
    </row>
    <row r="7" customFormat="false" ht="15" hidden="false" customHeight="false" outlineLevel="0" collapsed="false">
      <c r="A7" s="7" t="s">
        <v>790</v>
      </c>
      <c r="B7" s="8" t="s">
        <v>174</v>
      </c>
      <c r="C7" s="8" t="s">
        <v>787</v>
      </c>
      <c r="D7" s="8" t="s">
        <v>175</v>
      </c>
      <c r="E7" s="8" t="s">
        <v>791</v>
      </c>
      <c r="F7" s="8" t="s">
        <v>37</v>
      </c>
      <c r="G7" s="48"/>
      <c r="H7" s="48"/>
      <c r="I7" s="49"/>
      <c r="J7" s="48"/>
      <c r="K7" s="48"/>
    </row>
    <row r="8" customFormat="false" ht="23.85" hidden="false" customHeight="false" outlineLevel="0" collapsed="false">
      <c r="A8" s="7" t="s">
        <v>792</v>
      </c>
      <c r="B8" s="8" t="s">
        <v>793</v>
      </c>
      <c r="C8" s="8" t="s">
        <v>794</v>
      </c>
      <c r="D8" s="8" t="s">
        <v>795</v>
      </c>
      <c r="E8" s="8" t="s">
        <v>796</v>
      </c>
      <c r="F8" s="8" t="s">
        <v>37</v>
      </c>
      <c r="G8" s="48"/>
      <c r="H8" s="48"/>
      <c r="I8" s="49"/>
      <c r="J8" s="48"/>
      <c r="K8" s="48"/>
    </row>
    <row r="9" customFormat="false" ht="15" hidden="false" customHeight="false" outlineLevel="0" collapsed="false">
      <c r="A9" s="7" t="s">
        <v>797</v>
      </c>
      <c r="B9" s="8" t="s">
        <v>195</v>
      </c>
      <c r="C9" s="8" t="s">
        <v>798</v>
      </c>
      <c r="D9" s="8" t="s">
        <v>175</v>
      </c>
      <c r="E9" s="8" t="s">
        <v>799</v>
      </c>
      <c r="F9" s="8" t="s">
        <v>800</v>
      </c>
      <c r="G9" s="48"/>
      <c r="H9" s="48"/>
      <c r="I9" s="49"/>
      <c r="J9" s="48"/>
      <c r="K9" s="48"/>
    </row>
    <row r="10" customFormat="false" ht="15" hidden="false" customHeight="false" outlineLevel="0" collapsed="false">
      <c r="A10" s="7" t="s">
        <v>801</v>
      </c>
      <c r="B10" s="8" t="s">
        <v>195</v>
      </c>
      <c r="C10" s="8" t="s">
        <v>802</v>
      </c>
      <c r="D10" s="8" t="s">
        <v>175</v>
      </c>
      <c r="E10" s="8" t="s">
        <v>803</v>
      </c>
      <c r="F10" s="8" t="s">
        <v>37</v>
      </c>
      <c r="G10" s="48"/>
      <c r="H10" s="48"/>
      <c r="I10" s="49"/>
      <c r="J10" s="48"/>
      <c r="K10" s="48"/>
    </row>
    <row r="11" customFormat="false" ht="15" hidden="false" customHeight="false" outlineLevel="0" collapsed="false">
      <c r="A11" s="7" t="s">
        <v>804</v>
      </c>
      <c r="B11" s="8" t="s">
        <v>195</v>
      </c>
      <c r="C11" s="8" t="s">
        <v>805</v>
      </c>
      <c r="D11" s="8" t="s">
        <v>175</v>
      </c>
      <c r="E11" s="8"/>
      <c r="F11" s="8" t="s">
        <v>37</v>
      </c>
      <c r="G11" s="48"/>
      <c r="H11" s="48"/>
      <c r="I11" s="49"/>
      <c r="J11" s="48"/>
      <c r="K11" s="48"/>
    </row>
    <row r="12" customFormat="false" ht="15" hidden="false" customHeight="false" outlineLevel="0" collapsed="false">
      <c r="A12" s="7" t="s">
        <v>806</v>
      </c>
      <c r="B12" s="8" t="s">
        <v>186</v>
      </c>
      <c r="C12" s="8" t="s">
        <v>807</v>
      </c>
      <c r="D12" s="8" t="s">
        <v>175</v>
      </c>
      <c r="E12" s="8" t="s">
        <v>808</v>
      </c>
      <c r="F12" s="8" t="s">
        <v>37</v>
      </c>
      <c r="G12" s="48"/>
      <c r="H12" s="48"/>
      <c r="I12" s="49"/>
      <c r="J12" s="48"/>
      <c r="K12" s="48"/>
    </row>
    <row r="13" customFormat="false" ht="15" hidden="false" customHeight="false" outlineLevel="0" collapsed="false">
      <c r="A13" s="7" t="s">
        <v>809</v>
      </c>
      <c r="B13" s="8" t="s">
        <v>186</v>
      </c>
      <c r="C13" s="8" t="s">
        <v>810</v>
      </c>
      <c r="D13" s="8" t="s">
        <v>175</v>
      </c>
      <c r="E13" s="8" t="s">
        <v>811</v>
      </c>
      <c r="F13" s="8" t="s">
        <v>37</v>
      </c>
      <c r="G13" s="48"/>
      <c r="H13" s="48"/>
      <c r="I13" s="49"/>
      <c r="J13" s="48"/>
      <c r="K13" s="48"/>
    </row>
    <row r="14" customFormat="false" ht="15" hidden="false" customHeight="false" outlineLevel="0" collapsed="false">
      <c r="A14" s="7" t="s">
        <v>812</v>
      </c>
      <c r="B14" s="8" t="s">
        <v>190</v>
      </c>
      <c r="C14" s="8" t="s">
        <v>813</v>
      </c>
      <c r="D14" s="8" t="s">
        <v>175</v>
      </c>
      <c r="E14" s="8" t="s">
        <v>814</v>
      </c>
      <c r="F14" s="8" t="s">
        <v>37</v>
      </c>
      <c r="G14" s="48"/>
      <c r="H14" s="48"/>
      <c r="I14" s="49"/>
      <c r="J14" s="48"/>
      <c r="K14" s="48"/>
    </row>
    <row r="15" customFormat="false" ht="15" hidden="false" customHeight="false" outlineLevel="0" collapsed="false">
      <c r="A15" s="7" t="s">
        <v>815</v>
      </c>
      <c r="B15" s="8" t="s">
        <v>190</v>
      </c>
      <c r="C15" s="8" t="s">
        <v>816</v>
      </c>
      <c r="D15" s="8" t="s">
        <v>175</v>
      </c>
      <c r="E15" s="8" t="s">
        <v>817</v>
      </c>
      <c r="F15" s="8" t="s">
        <v>37</v>
      </c>
      <c r="G15" s="48"/>
      <c r="H15" s="48"/>
      <c r="I15" s="49"/>
      <c r="J15" s="48"/>
      <c r="K15" s="48"/>
    </row>
    <row r="16" customFormat="false" ht="23.85" hidden="false" customHeight="false" outlineLevel="0" collapsed="false">
      <c r="A16" s="7" t="s">
        <v>818</v>
      </c>
      <c r="B16" s="8" t="s">
        <v>181</v>
      </c>
      <c r="C16" s="8" t="s">
        <v>819</v>
      </c>
      <c r="D16" s="8" t="s">
        <v>175</v>
      </c>
      <c r="E16" s="8" t="s">
        <v>820</v>
      </c>
      <c r="F16" s="8" t="s">
        <v>821</v>
      </c>
      <c r="G16" s="48"/>
      <c r="H16" s="48"/>
      <c r="I16" s="49"/>
      <c r="J16" s="48"/>
      <c r="K16" s="48"/>
    </row>
    <row r="17" customFormat="false" ht="15" hidden="false" customHeight="false" outlineLevel="0" collapsed="false">
      <c r="A17" s="7" t="s">
        <v>822</v>
      </c>
      <c r="B17" s="8" t="s">
        <v>181</v>
      </c>
      <c r="C17" s="8" t="s">
        <v>805</v>
      </c>
      <c r="D17" s="8" t="s">
        <v>175</v>
      </c>
      <c r="E17" s="8" t="s">
        <v>823</v>
      </c>
      <c r="F17" s="8" t="s">
        <v>37</v>
      </c>
      <c r="G17" s="48"/>
      <c r="H17" s="48"/>
      <c r="I17" s="49"/>
      <c r="J17" s="48"/>
      <c r="K17" s="48"/>
    </row>
    <row r="18" customFormat="false" ht="23.85" hidden="false" customHeight="false" outlineLevel="0" collapsed="false">
      <c r="A18" s="7" t="s">
        <v>824</v>
      </c>
      <c r="B18" s="8" t="s">
        <v>200</v>
      </c>
      <c r="C18" s="8" t="s">
        <v>825</v>
      </c>
      <c r="D18" s="8" t="s">
        <v>175</v>
      </c>
      <c r="E18" s="8" t="s">
        <v>826</v>
      </c>
      <c r="F18" s="8" t="s">
        <v>827</v>
      </c>
      <c r="G18" s="48"/>
      <c r="H18" s="48"/>
      <c r="I18" s="49"/>
      <c r="J18" s="48"/>
      <c r="K18" s="48"/>
    </row>
    <row r="19" customFormat="false" ht="15" hidden="false" customHeight="false" outlineLevel="0" collapsed="false">
      <c r="A19" s="7" t="s">
        <v>828</v>
      </c>
      <c r="B19" s="8" t="s">
        <v>200</v>
      </c>
      <c r="C19" s="8" t="s">
        <v>829</v>
      </c>
      <c r="D19" s="8" t="s">
        <v>175</v>
      </c>
      <c r="E19" s="8" t="s">
        <v>830</v>
      </c>
      <c r="F19" s="8" t="s">
        <v>37</v>
      </c>
      <c r="G19" s="48"/>
      <c r="H19" s="48"/>
      <c r="I19" s="49"/>
      <c r="J19" s="48"/>
      <c r="K19" s="48"/>
    </row>
    <row r="20" customFormat="false" ht="15" hidden="false" customHeight="false" outlineLevel="0" collapsed="false">
      <c r="A20" s="7" t="s">
        <v>831</v>
      </c>
      <c r="B20" s="8" t="s">
        <v>209</v>
      </c>
      <c r="C20" s="8" t="s">
        <v>832</v>
      </c>
      <c r="D20" s="8" t="s">
        <v>175</v>
      </c>
      <c r="E20" s="8" t="s">
        <v>833</v>
      </c>
      <c r="F20" s="8" t="s">
        <v>37</v>
      </c>
      <c r="G20" s="48"/>
      <c r="H20" s="48"/>
      <c r="I20" s="49"/>
      <c r="J20" s="48"/>
      <c r="K20" s="48"/>
    </row>
    <row r="21" customFormat="false" ht="15" hidden="false" customHeight="false" outlineLevel="0" collapsed="false">
      <c r="A21" s="7" t="s">
        <v>834</v>
      </c>
      <c r="B21" s="8" t="s">
        <v>209</v>
      </c>
      <c r="C21" s="8" t="s">
        <v>805</v>
      </c>
      <c r="D21" s="8" t="s">
        <v>175</v>
      </c>
      <c r="E21" s="8" t="s">
        <v>835</v>
      </c>
      <c r="F21" s="8" t="s">
        <v>37</v>
      </c>
      <c r="G21" s="48"/>
      <c r="H21" s="48"/>
      <c r="I21" s="49"/>
      <c r="J21" s="48"/>
      <c r="K21" s="48"/>
    </row>
    <row r="22" customFormat="false" ht="15" hidden="false" customHeight="false" outlineLevel="0" collapsed="false">
      <c r="A22" s="7" t="s">
        <v>836</v>
      </c>
      <c r="B22" s="8" t="s">
        <v>502</v>
      </c>
      <c r="C22" s="8" t="s">
        <v>837</v>
      </c>
      <c r="D22" s="8" t="s">
        <v>175</v>
      </c>
      <c r="E22" s="8" t="s">
        <v>512</v>
      </c>
      <c r="F22" s="8" t="s">
        <v>37</v>
      </c>
      <c r="G22" s="48"/>
      <c r="H22" s="48"/>
      <c r="I22" s="49"/>
      <c r="J22" s="48"/>
      <c r="K22" s="48"/>
    </row>
    <row r="23" customFormat="false" ht="15" hidden="false" customHeight="false" outlineLevel="0" collapsed="false">
      <c r="A23" s="7" t="s">
        <v>838</v>
      </c>
      <c r="B23" s="8" t="s">
        <v>502</v>
      </c>
      <c r="C23" s="8" t="s">
        <v>839</v>
      </c>
      <c r="D23" s="8" t="s">
        <v>175</v>
      </c>
      <c r="E23" s="8" t="s">
        <v>840</v>
      </c>
      <c r="F23" s="8" t="s">
        <v>37</v>
      </c>
      <c r="G23" s="48"/>
      <c r="H23" s="48"/>
      <c r="I23" s="49"/>
      <c r="J23" s="48"/>
      <c r="K23" s="48"/>
    </row>
    <row r="24" customFormat="false" ht="23.85" hidden="false" customHeight="false" outlineLevel="0" collapsed="false">
      <c r="A24" s="7" t="s">
        <v>841</v>
      </c>
      <c r="B24" s="8" t="s">
        <v>502</v>
      </c>
      <c r="C24" s="8" t="s">
        <v>839</v>
      </c>
      <c r="D24" s="8" t="s">
        <v>175</v>
      </c>
      <c r="E24" s="8" t="s">
        <v>842</v>
      </c>
      <c r="F24" s="8" t="s">
        <v>37</v>
      </c>
      <c r="G24" s="48"/>
      <c r="H24" s="48"/>
      <c r="I24" s="49"/>
      <c r="J24" s="48"/>
      <c r="K24" s="48"/>
    </row>
    <row r="25" customFormat="false" ht="23.85" hidden="false" customHeight="false" outlineLevel="0" collapsed="false">
      <c r="A25" s="7" t="s">
        <v>843</v>
      </c>
      <c r="B25" s="8" t="s">
        <v>204</v>
      </c>
      <c r="C25" s="8" t="s">
        <v>844</v>
      </c>
      <c r="D25" s="8" t="s">
        <v>175</v>
      </c>
      <c r="E25" s="8" t="s">
        <v>845</v>
      </c>
      <c r="F25" s="8" t="s">
        <v>846</v>
      </c>
      <c r="G25" s="48"/>
      <c r="H25" s="48"/>
      <c r="I25" s="49"/>
      <c r="J25" s="48"/>
      <c r="K25" s="48"/>
    </row>
    <row r="26" customFormat="false" ht="15" hidden="false" customHeight="false" outlineLevel="0" collapsed="false">
      <c r="A26" s="7" t="s">
        <v>847</v>
      </c>
      <c r="B26" s="8" t="s">
        <v>204</v>
      </c>
      <c r="C26" s="8" t="s">
        <v>844</v>
      </c>
      <c r="D26" s="8" t="s">
        <v>175</v>
      </c>
      <c r="E26" s="8" t="s">
        <v>848</v>
      </c>
      <c r="F26" s="8" t="s">
        <v>37</v>
      </c>
      <c r="G26" s="48"/>
      <c r="H26" s="48"/>
      <c r="I26" s="49"/>
      <c r="J26" s="48"/>
      <c r="K26" s="48"/>
    </row>
    <row r="27" customFormat="false" ht="15" hidden="false" customHeight="false" outlineLevel="0" collapsed="false">
      <c r="A27" s="7" t="s">
        <v>849</v>
      </c>
      <c r="B27" s="8" t="s">
        <v>222</v>
      </c>
      <c r="C27" s="8" t="s">
        <v>850</v>
      </c>
      <c r="D27" s="8" t="s">
        <v>175</v>
      </c>
      <c r="E27" s="8" t="s">
        <v>851</v>
      </c>
      <c r="F27" s="8" t="s">
        <v>37</v>
      </c>
      <c r="G27" s="48"/>
      <c r="H27" s="48"/>
      <c r="I27" s="49"/>
      <c r="J27" s="48"/>
      <c r="K27" s="48"/>
    </row>
    <row r="28" customFormat="false" ht="15" hidden="false" customHeight="false" outlineLevel="0" collapsed="false">
      <c r="A28" s="7" t="s">
        <v>852</v>
      </c>
      <c r="B28" s="8" t="s">
        <v>853</v>
      </c>
      <c r="C28" s="8" t="s">
        <v>854</v>
      </c>
      <c r="D28" s="8" t="s">
        <v>175</v>
      </c>
      <c r="E28" s="8" t="s">
        <v>855</v>
      </c>
      <c r="F28" s="8" t="s">
        <v>37</v>
      </c>
      <c r="G28" s="48"/>
      <c r="H28" s="48"/>
      <c r="I28" s="49"/>
      <c r="J28" s="48"/>
      <c r="K28" s="48"/>
    </row>
    <row r="29" customFormat="false" ht="15" hidden="false" customHeight="false" outlineLevel="0" collapsed="false">
      <c r="A29" s="7" t="s">
        <v>856</v>
      </c>
      <c r="B29" s="8" t="s">
        <v>212</v>
      </c>
      <c r="C29" s="8" t="s">
        <v>857</v>
      </c>
      <c r="D29" s="8" t="s">
        <v>175</v>
      </c>
      <c r="E29" s="8" t="s">
        <v>858</v>
      </c>
      <c r="F29" s="8" t="s">
        <v>859</v>
      </c>
      <c r="G29" s="48"/>
      <c r="H29" s="48"/>
      <c r="I29" s="49"/>
      <c r="J29" s="48"/>
      <c r="K29" s="48"/>
    </row>
    <row r="30" customFormat="false" ht="15" hidden="false" customHeight="false" outlineLevel="0" collapsed="false">
      <c r="A30" s="7" t="s">
        <v>860</v>
      </c>
      <c r="B30" s="8" t="s">
        <v>212</v>
      </c>
      <c r="C30" s="8" t="s">
        <v>861</v>
      </c>
      <c r="D30" s="8" t="s">
        <v>175</v>
      </c>
      <c r="E30" s="8"/>
      <c r="F30" s="8" t="s">
        <v>37</v>
      </c>
      <c r="G30" s="48"/>
      <c r="H30" s="48"/>
      <c r="I30" s="49"/>
      <c r="J30" s="48"/>
      <c r="K30" s="48"/>
    </row>
    <row r="31" customFormat="false" ht="15" hidden="false" customHeight="false" outlineLevel="0" collapsed="false">
      <c r="A31" s="7" t="s">
        <v>862</v>
      </c>
      <c r="B31" s="8" t="s">
        <v>212</v>
      </c>
      <c r="C31" s="8" t="s">
        <v>863</v>
      </c>
      <c r="D31" s="8" t="s">
        <v>795</v>
      </c>
      <c r="E31" s="8" t="s">
        <v>864</v>
      </c>
      <c r="F31" s="8" t="s">
        <v>37</v>
      </c>
      <c r="G31" s="48"/>
      <c r="H31" s="48"/>
      <c r="I31" s="49"/>
      <c r="J31" s="48"/>
      <c r="K31" s="48"/>
    </row>
    <row r="32" customFormat="false" ht="23.85" hidden="false" customHeight="false" outlineLevel="0" collapsed="false">
      <c r="A32" s="7" t="s">
        <v>865</v>
      </c>
      <c r="B32" s="8" t="s">
        <v>433</v>
      </c>
      <c r="C32" s="8" t="s">
        <v>866</v>
      </c>
      <c r="D32" s="8" t="s">
        <v>175</v>
      </c>
      <c r="E32" s="8" t="s">
        <v>867</v>
      </c>
      <c r="F32" s="8" t="s">
        <v>37</v>
      </c>
      <c r="G32" s="48"/>
      <c r="H32" s="48"/>
      <c r="I32" s="49"/>
      <c r="J32" s="48"/>
      <c r="K32" s="48"/>
    </row>
    <row r="33" customFormat="false" ht="15" hidden="false" customHeight="false" outlineLevel="0" collapsed="false">
      <c r="A33" s="7" t="s">
        <v>868</v>
      </c>
      <c r="B33" s="8" t="s">
        <v>433</v>
      </c>
      <c r="C33" s="8" t="s">
        <v>869</v>
      </c>
      <c r="D33" s="8" t="s">
        <v>175</v>
      </c>
      <c r="E33" s="8" t="s">
        <v>870</v>
      </c>
      <c r="F33" s="8" t="s">
        <v>37</v>
      </c>
      <c r="G33" s="48"/>
      <c r="H33" s="48"/>
      <c r="I33" s="49"/>
      <c r="J33" s="48"/>
      <c r="K33" s="48"/>
    </row>
    <row r="34" customFormat="false" ht="15" hidden="false" customHeight="false" outlineLevel="0" collapsed="false">
      <c r="A34" s="7" t="s">
        <v>871</v>
      </c>
      <c r="B34" s="8" t="s">
        <v>433</v>
      </c>
      <c r="C34" s="8" t="s">
        <v>872</v>
      </c>
      <c r="D34" s="8" t="s">
        <v>175</v>
      </c>
      <c r="E34" s="8" t="s">
        <v>803</v>
      </c>
      <c r="F34" s="8" t="s">
        <v>37</v>
      </c>
      <c r="G34" s="48"/>
      <c r="H34" s="48"/>
      <c r="I34" s="49"/>
      <c r="J34" s="48"/>
      <c r="K34" s="48"/>
    </row>
    <row r="35" customFormat="false" ht="15" hidden="false" customHeight="false" outlineLevel="0" collapsed="false">
      <c r="A35" s="7" t="s">
        <v>873</v>
      </c>
      <c r="B35" s="8" t="s">
        <v>455</v>
      </c>
      <c r="C35" s="8" t="s">
        <v>874</v>
      </c>
      <c r="D35" s="8" t="s">
        <v>175</v>
      </c>
      <c r="E35" s="8" t="s">
        <v>875</v>
      </c>
      <c r="F35" s="8" t="s">
        <v>37</v>
      </c>
      <c r="G35" s="48"/>
      <c r="H35" s="48"/>
      <c r="I35" s="49"/>
      <c r="J35" s="48"/>
      <c r="K35" s="48"/>
    </row>
    <row r="36" customFormat="false" ht="15" hidden="false" customHeight="false" outlineLevel="0" collapsed="false">
      <c r="A36" s="7" t="s">
        <v>876</v>
      </c>
      <c r="B36" s="8" t="s">
        <v>455</v>
      </c>
      <c r="C36" s="8" t="s">
        <v>877</v>
      </c>
      <c r="D36" s="8" t="s">
        <v>795</v>
      </c>
      <c r="E36" s="8" t="s">
        <v>878</v>
      </c>
      <c r="F36" s="8" t="s">
        <v>37</v>
      </c>
      <c r="G36" s="48"/>
      <c r="H36" s="48"/>
      <c r="I36" s="49"/>
      <c r="J36" s="48"/>
      <c r="K36" s="48"/>
    </row>
    <row r="37" customFormat="false" ht="23.85" hidden="false" customHeight="false" outlineLevel="0" collapsed="false">
      <c r="A37" s="7" t="s">
        <v>879</v>
      </c>
      <c r="B37" s="8" t="s">
        <v>482</v>
      </c>
      <c r="C37" s="8" t="s">
        <v>880</v>
      </c>
      <c r="D37" s="8" t="s">
        <v>175</v>
      </c>
      <c r="E37" s="8" t="s">
        <v>881</v>
      </c>
      <c r="F37" s="8" t="s">
        <v>882</v>
      </c>
      <c r="G37" s="48"/>
      <c r="H37" s="48"/>
      <c r="I37" s="49"/>
      <c r="J37" s="48"/>
      <c r="K37" s="48"/>
    </row>
    <row r="38" customFormat="false" ht="15" hidden="false" customHeight="false" outlineLevel="0" collapsed="false">
      <c r="A38" s="7" t="s">
        <v>883</v>
      </c>
      <c r="B38" s="8" t="s">
        <v>482</v>
      </c>
      <c r="C38" s="8" t="s">
        <v>829</v>
      </c>
      <c r="D38" s="8" t="s">
        <v>175</v>
      </c>
      <c r="E38" s="8" t="s">
        <v>884</v>
      </c>
      <c r="F38" s="8" t="s">
        <v>37</v>
      </c>
      <c r="G38" s="48"/>
      <c r="H38" s="48"/>
      <c r="I38" s="49"/>
      <c r="J38" s="48"/>
      <c r="K38" s="48"/>
    </row>
    <row r="39" customFormat="false" ht="23.85" hidden="false" customHeight="false" outlineLevel="0" collapsed="false">
      <c r="A39" s="7" t="s">
        <v>885</v>
      </c>
      <c r="B39" s="8" t="s">
        <v>445</v>
      </c>
      <c r="C39" s="8" t="s">
        <v>886</v>
      </c>
      <c r="D39" s="8" t="s">
        <v>175</v>
      </c>
      <c r="E39" s="8" t="s">
        <v>887</v>
      </c>
      <c r="F39" s="8" t="s">
        <v>888</v>
      </c>
      <c r="G39" s="48"/>
      <c r="H39" s="48"/>
      <c r="I39" s="49"/>
      <c r="J39" s="48"/>
      <c r="K39" s="48"/>
    </row>
    <row r="40" customFormat="false" ht="23.85" hidden="false" customHeight="false" outlineLevel="0" collapsed="false">
      <c r="A40" s="7" t="s">
        <v>889</v>
      </c>
      <c r="B40" s="8" t="s">
        <v>514</v>
      </c>
      <c r="C40" s="8" t="s">
        <v>890</v>
      </c>
      <c r="D40" s="8" t="s">
        <v>175</v>
      </c>
      <c r="E40" s="8" t="s">
        <v>891</v>
      </c>
      <c r="F40" s="8" t="s">
        <v>892</v>
      </c>
      <c r="G40" s="48"/>
      <c r="H40" s="48"/>
      <c r="I40" s="49"/>
      <c r="J40" s="48"/>
      <c r="K40" s="48"/>
    </row>
    <row r="41" customFormat="false" ht="15" hidden="false" customHeight="false" outlineLevel="0" collapsed="false">
      <c r="A41" s="7" t="s">
        <v>893</v>
      </c>
      <c r="B41" s="8" t="s">
        <v>514</v>
      </c>
      <c r="C41" s="8" t="s">
        <v>839</v>
      </c>
      <c r="D41" s="8" t="s">
        <v>175</v>
      </c>
      <c r="E41" s="8" t="s">
        <v>894</v>
      </c>
      <c r="F41" s="8" t="s">
        <v>37</v>
      </c>
      <c r="G41" s="48"/>
      <c r="H41" s="48"/>
      <c r="I41" s="49"/>
      <c r="J41" s="48"/>
      <c r="K41" s="48"/>
    </row>
    <row r="42" customFormat="false" ht="15" hidden="false" customHeight="false" outlineLevel="0" collapsed="false">
      <c r="A42" s="7" t="s">
        <v>895</v>
      </c>
      <c r="B42" s="8" t="s">
        <v>514</v>
      </c>
      <c r="C42" s="8" t="s">
        <v>839</v>
      </c>
      <c r="D42" s="8" t="s">
        <v>175</v>
      </c>
      <c r="E42" s="8" t="s">
        <v>896</v>
      </c>
      <c r="F42" s="8" t="s">
        <v>37</v>
      </c>
      <c r="G42" s="48"/>
      <c r="H42" s="48"/>
      <c r="I42" s="49"/>
      <c r="J42" s="48"/>
      <c r="K42" s="48"/>
    </row>
    <row r="43" customFormat="false" ht="15" hidden="false" customHeight="false" outlineLevel="0" collapsed="false">
      <c r="A43" s="7" t="s">
        <v>897</v>
      </c>
      <c r="B43" s="8" t="s">
        <v>514</v>
      </c>
      <c r="C43" s="8" t="s">
        <v>898</v>
      </c>
      <c r="D43" s="8" t="s">
        <v>175</v>
      </c>
      <c r="E43" s="8" t="s">
        <v>896</v>
      </c>
      <c r="F43" s="8" t="s">
        <v>37</v>
      </c>
      <c r="G43" s="48"/>
      <c r="H43" s="48"/>
      <c r="I43" s="49"/>
      <c r="J43" s="48"/>
      <c r="K43" s="48"/>
    </row>
    <row r="44" customFormat="false" ht="23.85" hidden="false" customHeight="false" outlineLevel="0" collapsed="false">
      <c r="A44" s="7" t="s">
        <v>899</v>
      </c>
      <c r="B44" s="8" t="s">
        <v>225</v>
      </c>
      <c r="C44" s="8" t="s">
        <v>900</v>
      </c>
      <c r="D44" s="8" t="s">
        <v>175</v>
      </c>
      <c r="E44" s="8" t="s">
        <v>901</v>
      </c>
      <c r="F44" s="8" t="s">
        <v>902</v>
      </c>
      <c r="G44" s="48"/>
      <c r="H44" s="48"/>
      <c r="I44" s="49"/>
      <c r="J44" s="48"/>
      <c r="K44" s="48"/>
    </row>
    <row r="45" customFormat="false" ht="15" hidden="false" customHeight="false" outlineLevel="0" collapsed="false">
      <c r="A45" s="7" t="s">
        <v>903</v>
      </c>
      <c r="B45" s="8" t="s">
        <v>225</v>
      </c>
      <c r="C45" s="8" t="s">
        <v>805</v>
      </c>
      <c r="D45" s="8" t="s">
        <v>175</v>
      </c>
      <c r="E45" s="8" t="s">
        <v>904</v>
      </c>
      <c r="F45" s="8" t="s">
        <v>905</v>
      </c>
      <c r="G45" s="48"/>
      <c r="H45" s="48"/>
      <c r="I45" s="49"/>
      <c r="J45" s="48"/>
      <c r="K45" s="48"/>
    </row>
    <row r="46" customFormat="false" ht="15" hidden="false" customHeight="false" outlineLevel="0" collapsed="false">
      <c r="A46" s="7" t="s">
        <v>906</v>
      </c>
      <c r="B46" s="8" t="s">
        <v>907</v>
      </c>
      <c r="C46" s="8" t="s">
        <v>908</v>
      </c>
      <c r="D46" s="8" t="s">
        <v>795</v>
      </c>
      <c r="E46" s="8" t="s">
        <v>909</v>
      </c>
      <c r="F46" s="8" t="s">
        <v>37</v>
      </c>
      <c r="G46" s="48"/>
      <c r="H46" s="48"/>
      <c r="I46" s="49"/>
      <c r="J46" s="48"/>
      <c r="K46" s="48"/>
    </row>
    <row r="47" customFormat="false" ht="15" hidden="false" customHeight="false" outlineLevel="0" collapsed="false">
      <c r="A47" s="7" t="s">
        <v>910</v>
      </c>
      <c r="B47" s="8" t="s">
        <v>911</v>
      </c>
      <c r="C47" s="8" t="s">
        <v>912</v>
      </c>
      <c r="D47" s="8" t="s">
        <v>795</v>
      </c>
      <c r="E47" s="8" t="s">
        <v>913</v>
      </c>
      <c r="F47" s="8" t="s">
        <v>37</v>
      </c>
      <c r="G47" s="48"/>
      <c r="H47" s="48"/>
      <c r="I47" s="49"/>
      <c r="J47" s="48"/>
      <c r="K47" s="48"/>
    </row>
    <row r="48" customFormat="false" ht="23.85" hidden="false" customHeight="false" outlineLevel="0" collapsed="false">
      <c r="A48" s="7" t="s">
        <v>914</v>
      </c>
      <c r="B48" s="8" t="s">
        <v>652</v>
      </c>
      <c r="C48" s="8" t="s">
        <v>915</v>
      </c>
      <c r="D48" s="8" t="s">
        <v>795</v>
      </c>
      <c r="E48" s="8" t="s">
        <v>916</v>
      </c>
      <c r="F48" s="8" t="s">
        <v>37</v>
      </c>
      <c r="G48" s="48"/>
      <c r="H48" s="48"/>
      <c r="I48" s="49"/>
      <c r="J48" s="48"/>
      <c r="K48" s="48"/>
    </row>
    <row r="49" customFormat="false" ht="15" hidden="false" customHeight="false" outlineLevel="0" collapsed="false">
      <c r="A49" s="7" t="s">
        <v>686</v>
      </c>
      <c r="B49" s="8" t="s">
        <v>683</v>
      </c>
      <c r="C49" s="8" t="s">
        <v>917</v>
      </c>
      <c r="D49" s="8" t="s">
        <v>175</v>
      </c>
      <c r="E49" s="8" t="s">
        <v>918</v>
      </c>
      <c r="F49" s="8" t="s">
        <v>37</v>
      </c>
      <c r="G49" s="48"/>
      <c r="H49" s="48"/>
      <c r="I49" s="49"/>
      <c r="J49" s="48"/>
      <c r="K49" s="48"/>
    </row>
    <row r="50" customFormat="false" ht="15" hidden="false" customHeight="false" outlineLevel="0" collapsed="false">
      <c r="A50" s="7" t="s">
        <v>696</v>
      </c>
      <c r="B50" s="8" t="s">
        <v>919</v>
      </c>
      <c r="C50" s="8" t="s">
        <v>920</v>
      </c>
      <c r="D50" s="8" t="s">
        <v>175</v>
      </c>
      <c r="E50" s="8" t="s">
        <v>921</v>
      </c>
      <c r="F50" s="8" t="s">
        <v>37</v>
      </c>
      <c r="G50" s="48"/>
      <c r="H50" s="48"/>
      <c r="I50" s="49"/>
      <c r="J50" s="48"/>
      <c r="K50" s="48"/>
    </row>
    <row r="51" customFormat="false" ht="15" hidden="false" customHeight="false" outlineLevel="0" collapsed="false">
      <c r="A51" s="7" t="s">
        <v>922</v>
      </c>
      <c r="B51" s="8" t="s">
        <v>719</v>
      </c>
      <c r="C51" s="8" t="s">
        <v>923</v>
      </c>
      <c r="D51" s="8" t="s">
        <v>175</v>
      </c>
      <c r="E51" s="8" t="s">
        <v>924</v>
      </c>
      <c r="F51" s="8" t="s">
        <v>37</v>
      </c>
      <c r="G51" s="48"/>
      <c r="H51" s="48"/>
      <c r="I51" s="49"/>
      <c r="J51" s="48"/>
      <c r="K51" s="48"/>
    </row>
    <row r="52" customFormat="false" ht="15" hidden="false" customHeight="false" outlineLevel="0" collapsed="false">
      <c r="A52" s="7" t="s">
        <v>925</v>
      </c>
      <c r="B52" s="8" t="s">
        <v>738</v>
      </c>
      <c r="C52" s="8" t="s">
        <v>926</v>
      </c>
      <c r="D52" s="8" t="s">
        <v>795</v>
      </c>
      <c r="E52" s="8" t="s">
        <v>927</v>
      </c>
      <c r="F52" s="8" t="s">
        <v>37</v>
      </c>
      <c r="G52" s="48"/>
      <c r="H52" s="48"/>
      <c r="I52" s="49"/>
      <c r="J52" s="48"/>
      <c r="K52" s="48"/>
    </row>
    <row r="53" customFormat="false" ht="15" hidden="false" customHeight="false" outlineLevel="0" collapsed="false">
      <c r="A53" s="7" t="s">
        <v>928</v>
      </c>
      <c r="B53" s="8" t="s">
        <v>492</v>
      </c>
      <c r="C53" s="8" t="s">
        <v>929</v>
      </c>
      <c r="D53" s="8" t="s">
        <v>175</v>
      </c>
      <c r="E53" s="8" t="s">
        <v>930</v>
      </c>
      <c r="F53" s="8" t="s">
        <v>37</v>
      </c>
      <c r="G53" s="48"/>
      <c r="H53" s="48"/>
      <c r="I53" s="49"/>
      <c r="J53" s="48"/>
      <c r="K53" s="48"/>
    </row>
    <row r="54" customFormat="false" ht="15" hidden="false" customHeight="false" outlineLevel="0" collapsed="false">
      <c r="A54" s="7" t="s">
        <v>931</v>
      </c>
      <c r="B54" s="8" t="s">
        <v>671</v>
      </c>
      <c r="C54" s="8" t="s">
        <v>932</v>
      </c>
      <c r="D54" s="8" t="s">
        <v>175</v>
      </c>
      <c r="E54" s="8" t="s">
        <v>933</v>
      </c>
      <c r="F54" s="8" t="s">
        <v>37</v>
      </c>
      <c r="G54" s="48"/>
      <c r="H54" s="48"/>
      <c r="I54" s="49"/>
      <c r="J54" s="48"/>
      <c r="K54" s="48"/>
    </row>
    <row r="55" customFormat="false" ht="15" hidden="false" customHeight="false" outlineLevel="0" collapsed="false">
      <c r="A55" s="7" t="s">
        <v>732</v>
      </c>
      <c r="B55" s="8" t="s">
        <v>728</v>
      </c>
      <c r="C55" s="8" t="s">
        <v>929</v>
      </c>
      <c r="D55" s="8" t="s">
        <v>175</v>
      </c>
      <c r="E55" s="8" t="s">
        <v>934</v>
      </c>
      <c r="F55" s="8" t="s">
        <v>935</v>
      </c>
      <c r="G55" s="48"/>
      <c r="H55" s="48"/>
      <c r="I55" s="49"/>
      <c r="J55" s="48"/>
      <c r="K55" s="48"/>
    </row>
    <row r="56" customFormat="false" ht="15" hidden="false" customHeight="false" outlineLevel="0" collapsed="false">
      <c r="A56" s="7" t="s">
        <v>936</v>
      </c>
      <c r="B56" s="8" t="s">
        <v>60</v>
      </c>
      <c r="C56" s="8" t="s">
        <v>937</v>
      </c>
      <c r="D56" s="8" t="s">
        <v>19</v>
      </c>
      <c r="E56" s="8" t="s">
        <v>938</v>
      </c>
      <c r="F56" s="8" t="s">
        <v>37</v>
      </c>
      <c r="G56" s="48"/>
      <c r="H56" s="48"/>
      <c r="I56" s="49"/>
      <c r="J56" s="48"/>
      <c r="K56" s="48"/>
    </row>
    <row r="57" customFormat="false" ht="15" hidden="false" customHeight="false" outlineLevel="0" collapsed="false">
      <c r="A57" s="7" t="s">
        <v>939</v>
      </c>
      <c r="B57" s="8" t="s">
        <v>79</v>
      </c>
      <c r="C57" s="8" t="s">
        <v>940</v>
      </c>
      <c r="D57" s="8" t="s">
        <v>19</v>
      </c>
      <c r="E57" s="8" t="s">
        <v>941</v>
      </c>
      <c r="F57" s="8" t="s">
        <v>942</v>
      </c>
      <c r="G57" s="48"/>
      <c r="H57" s="48"/>
      <c r="I57" s="49"/>
      <c r="J57" s="48"/>
      <c r="K57" s="48"/>
    </row>
    <row r="58" customFormat="false" ht="15" hidden="false" customHeight="false" outlineLevel="0" collapsed="false">
      <c r="A58" s="7" t="s">
        <v>943</v>
      </c>
      <c r="B58" s="8" t="s">
        <v>70</v>
      </c>
      <c r="C58" s="8" t="s">
        <v>937</v>
      </c>
      <c r="D58" s="8" t="s">
        <v>19</v>
      </c>
      <c r="E58" s="8" t="s">
        <v>944</v>
      </c>
      <c r="F58" s="8" t="s">
        <v>37</v>
      </c>
      <c r="G58" s="48"/>
      <c r="H58" s="48"/>
      <c r="I58" s="49"/>
      <c r="J58" s="48"/>
      <c r="K58" s="48"/>
    </row>
    <row r="59" customFormat="false" ht="23.85" hidden="false" customHeight="false" outlineLevel="0" collapsed="false">
      <c r="A59" s="7" t="s">
        <v>945</v>
      </c>
      <c r="B59" s="8" t="s">
        <v>54</v>
      </c>
      <c r="C59" s="8" t="s">
        <v>946</v>
      </c>
      <c r="D59" s="8" t="s">
        <v>795</v>
      </c>
      <c r="E59" s="8" t="s">
        <v>947</v>
      </c>
      <c r="F59" s="8" t="s">
        <v>37</v>
      </c>
      <c r="G59" s="48"/>
      <c r="H59" s="48"/>
      <c r="I59" s="49"/>
      <c r="J59" s="48"/>
      <c r="K59" s="48"/>
    </row>
    <row r="60" customFormat="false" ht="15" hidden="false" customHeight="false" outlineLevel="0" collapsed="false">
      <c r="A60" s="7" t="s">
        <v>948</v>
      </c>
      <c r="B60" s="8" t="s">
        <v>117</v>
      </c>
      <c r="C60" s="8" t="s">
        <v>949</v>
      </c>
      <c r="D60" s="8" t="s">
        <v>118</v>
      </c>
      <c r="E60" s="8" t="s">
        <v>950</v>
      </c>
      <c r="F60" s="8" t="s">
        <v>37</v>
      </c>
      <c r="G60" s="48"/>
      <c r="H60" s="48"/>
      <c r="I60" s="49"/>
      <c r="J60" s="48"/>
      <c r="K60" s="48"/>
    </row>
    <row r="61" customFormat="false" ht="15" hidden="false" customHeight="false" outlineLevel="0" collapsed="false">
      <c r="A61" s="7" t="s">
        <v>951</v>
      </c>
      <c r="B61" s="8" t="s">
        <v>117</v>
      </c>
      <c r="C61" s="8" t="s">
        <v>949</v>
      </c>
      <c r="D61" s="8" t="s">
        <v>118</v>
      </c>
      <c r="E61" s="8"/>
      <c r="F61" s="8" t="s">
        <v>37</v>
      </c>
      <c r="G61" s="48"/>
      <c r="H61" s="48"/>
      <c r="I61" s="49"/>
      <c r="J61" s="48"/>
      <c r="K61" s="48"/>
    </row>
    <row r="62" customFormat="false" ht="23.85" hidden="false" customHeight="false" outlineLevel="0" collapsed="false">
      <c r="A62" s="7" t="s">
        <v>952</v>
      </c>
      <c r="B62" s="8" t="s">
        <v>168</v>
      </c>
      <c r="C62" s="8" t="s">
        <v>953</v>
      </c>
      <c r="D62" s="8" t="s">
        <v>118</v>
      </c>
      <c r="E62" s="8" t="s">
        <v>954</v>
      </c>
      <c r="F62" s="8" t="s">
        <v>955</v>
      </c>
      <c r="G62" s="48"/>
      <c r="H62" s="48"/>
      <c r="I62" s="49"/>
      <c r="J62" s="48"/>
      <c r="K62" s="48"/>
    </row>
    <row r="64" customFormat="false" ht="39.75" hidden="false" customHeight="true" outlineLevel="0" collapsed="false">
      <c r="A64" s="10" t="s">
        <v>956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H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1" width="20"/>
    <col collapsed="false" customWidth="true" hidden="false" outlineLevel="0" max="2" min="2" style="11" width="12"/>
    <col collapsed="false" customWidth="true" hidden="false" outlineLevel="0" max="3" min="3" style="11" width="26"/>
    <col collapsed="false" customWidth="true" hidden="false" outlineLevel="0" max="4" min="4" style="11" width="46"/>
    <col collapsed="false" customWidth="true" hidden="false" outlineLevel="0" max="5" min="5" style="11" width="28"/>
    <col collapsed="false" customWidth="true" hidden="false" outlineLevel="0" max="6" min="6" style="11" width="34"/>
    <col collapsed="false" customWidth="true" hidden="false" outlineLevel="0" max="7" min="7" style="11" width="18"/>
    <col collapsed="false" customWidth="true" hidden="false" outlineLevel="0" max="8" min="8" style="11" width="36"/>
  </cols>
  <sheetData>
    <row r="1" customFormat="false" ht="24" hidden="false" customHeight="true" outlineLevel="0" collapsed="false">
      <c r="A1" s="12" t="s">
        <v>957</v>
      </c>
      <c r="B1" s="12"/>
      <c r="C1" s="12"/>
      <c r="D1" s="12"/>
      <c r="E1" s="12"/>
      <c r="F1" s="12"/>
      <c r="G1" s="12"/>
      <c r="H1" s="12"/>
    </row>
    <row r="3" customFormat="false" ht="24" hidden="false" customHeight="true" outlineLevel="0" collapsed="false">
      <c r="A3" s="17" t="s">
        <v>6</v>
      </c>
      <c r="B3" s="17" t="s">
        <v>7</v>
      </c>
      <c r="C3" s="17" t="s">
        <v>958</v>
      </c>
      <c r="D3" s="17" t="s">
        <v>251</v>
      </c>
      <c r="E3" s="17" t="s">
        <v>959</v>
      </c>
      <c r="F3" s="17" t="s">
        <v>960</v>
      </c>
      <c r="G3" s="17" t="s">
        <v>12</v>
      </c>
      <c r="H3" s="17" t="s">
        <v>961</v>
      </c>
    </row>
    <row r="4" customFormat="false" ht="57.75" hidden="false" customHeight="true" outlineLevel="0" collapsed="false">
      <c r="A4" s="23" t="s">
        <v>18</v>
      </c>
      <c r="B4" s="24" t="s">
        <v>20</v>
      </c>
      <c r="C4" s="25" t="s">
        <v>962</v>
      </c>
      <c r="D4" s="25" t="s">
        <v>963</v>
      </c>
      <c r="E4" s="25" t="s">
        <v>964</v>
      </c>
      <c r="F4" s="25" t="s">
        <v>965</v>
      </c>
      <c r="G4" s="24" t="s">
        <v>966</v>
      </c>
      <c r="H4" s="25" t="s">
        <v>967</v>
      </c>
    </row>
    <row r="5" customFormat="false" ht="57.75" hidden="false" customHeight="true" outlineLevel="0" collapsed="false">
      <c r="A5" s="23" t="s">
        <v>26</v>
      </c>
      <c r="B5" s="24" t="s">
        <v>20</v>
      </c>
      <c r="C5" s="25" t="s">
        <v>968</v>
      </c>
      <c r="D5" s="25" t="s">
        <v>969</v>
      </c>
      <c r="E5" s="25" t="s">
        <v>970</v>
      </c>
      <c r="F5" s="25" t="s">
        <v>270</v>
      </c>
      <c r="G5" s="24" t="s">
        <v>966</v>
      </c>
      <c r="H5" s="25" t="s">
        <v>971</v>
      </c>
    </row>
    <row r="6" customFormat="false" ht="57.75" hidden="false" customHeight="true" outlineLevel="0" collapsed="false">
      <c r="A6" s="23" t="s">
        <v>30</v>
      </c>
      <c r="B6" s="24" t="s">
        <v>20</v>
      </c>
      <c r="C6" s="25" t="s">
        <v>972</v>
      </c>
      <c r="D6" s="25" t="s">
        <v>973</v>
      </c>
      <c r="E6" s="25" t="s">
        <v>974</v>
      </c>
      <c r="F6" s="25" t="s">
        <v>32</v>
      </c>
      <c r="G6" s="24" t="s">
        <v>966</v>
      </c>
      <c r="H6" s="25" t="s">
        <v>975</v>
      </c>
    </row>
    <row r="7" customFormat="false" ht="57.75" hidden="false" customHeight="true" outlineLevel="0" collapsed="false">
      <c r="A7" s="23" t="s">
        <v>34</v>
      </c>
      <c r="B7" s="24" t="s">
        <v>20</v>
      </c>
      <c r="C7" s="25" t="s">
        <v>976</v>
      </c>
      <c r="D7" s="25" t="s">
        <v>977</v>
      </c>
      <c r="E7" s="25" t="s">
        <v>978</v>
      </c>
      <c r="F7" s="25" t="s">
        <v>36</v>
      </c>
      <c r="G7" s="24" t="s">
        <v>966</v>
      </c>
      <c r="H7" s="25" t="s">
        <v>979</v>
      </c>
    </row>
    <row r="8" customFormat="false" ht="57.75" hidden="false" customHeight="true" outlineLevel="0" collapsed="false">
      <c r="A8" s="23" t="s">
        <v>38</v>
      </c>
      <c r="B8" s="24" t="s">
        <v>20</v>
      </c>
      <c r="C8" s="25" t="s">
        <v>972</v>
      </c>
      <c r="D8" s="25" t="s">
        <v>980</v>
      </c>
      <c r="E8" s="25" t="s">
        <v>981</v>
      </c>
      <c r="F8" s="25" t="s">
        <v>36</v>
      </c>
      <c r="G8" s="24" t="s">
        <v>966</v>
      </c>
      <c r="H8" s="25" t="s">
        <v>982</v>
      </c>
    </row>
    <row r="9" customFormat="false" ht="57.75" hidden="false" customHeight="true" outlineLevel="0" collapsed="false">
      <c r="A9" s="23" t="s">
        <v>41</v>
      </c>
      <c r="B9" s="24" t="s">
        <v>20</v>
      </c>
      <c r="C9" s="25" t="s">
        <v>972</v>
      </c>
      <c r="D9" s="25" t="s">
        <v>983</v>
      </c>
      <c r="E9" s="25" t="s">
        <v>981</v>
      </c>
      <c r="F9" s="25" t="s">
        <v>36</v>
      </c>
      <c r="G9" s="24" t="s">
        <v>966</v>
      </c>
      <c r="H9" s="25" t="s">
        <v>984</v>
      </c>
    </row>
    <row r="10" customFormat="false" ht="57.75" hidden="false" customHeight="true" outlineLevel="0" collapsed="false">
      <c r="A10" s="23" t="s">
        <v>43</v>
      </c>
      <c r="B10" s="24" t="s">
        <v>20</v>
      </c>
      <c r="C10" s="25" t="s">
        <v>985</v>
      </c>
      <c r="D10" s="25" t="s">
        <v>986</v>
      </c>
      <c r="E10" s="25" t="s">
        <v>987</v>
      </c>
      <c r="F10" s="25" t="s">
        <v>36</v>
      </c>
      <c r="G10" s="24" t="s">
        <v>966</v>
      </c>
      <c r="H10" s="25" t="s">
        <v>988</v>
      </c>
    </row>
    <row r="11" customFormat="false" ht="57.75" hidden="false" customHeight="true" outlineLevel="0" collapsed="false">
      <c r="A11" s="23" t="s">
        <v>47</v>
      </c>
      <c r="B11" s="24" t="s">
        <v>20</v>
      </c>
      <c r="C11" s="25" t="s">
        <v>972</v>
      </c>
      <c r="D11" s="25" t="s">
        <v>989</v>
      </c>
      <c r="E11" s="25" t="s">
        <v>981</v>
      </c>
      <c r="F11" s="25" t="s">
        <v>36</v>
      </c>
      <c r="G11" s="24" t="s">
        <v>966</v>
      </c>
      <c r="H11" s="25" t="s">
        <v>990</v>
      </c>
    </row>
    <row r="12" customFormat="false" ht="57.75" hidden="false" customHeight="true" outlineLevel="0" collapsed="false">
      <c r="A12" s="23" t="s">
        <v>50</v>
      </c>
      <c r="B12" s="24" t="s">
        <v>20</v>
      </c>
      <c r="C12" s="25" t="s">
        <v>991</v>
      </c>
      <c r="D12" s="25" t="s">
        <v>992</v>
      </c>
      <c r="E12" s="25" t="s">
        <v>993</v>
      </c>
      <c r="F12" s="25" t="s">
        <v>36</v>
      </c>
      <c r="G12" s="24" t="s">
        <v>966</v>
      </c>
      <c r="H12" s="25" t="s">
        <v>994</v>
      </c>
    </row>
    <row r="13" customFormat="false" ht="57.75" hidden="false" customHeight="true" outlineLevel="0" collapsed="false">
      <c r="A13" s="29" t="s">
        <v>54</v>
      </c>
      <c r="B13" s="30" t="s">
        <v>55</v>
      </c>
      <c r="C13" s="31" t="s">
        <v>995</v>
      </c>
      <c r="D13" s="31" t="s">
        <v>996</v>
      </c>
      <c r="E13" s="31" t="s">
        <v>997</v>
      </c>
      <c r="F13" s="31" t="s">
        <v>998</v>
      </c>
      <c r="G13" s="30" t="s">
        <v>58</v>
      </c>
      <c r="H13" s="31" t="s">
        <v>999</v>
      </c>
    </row>
    <row r="14" customFormat="false" ht="57.75" hidden="false" customHeight="true" outlineLevel="0" collapsed="false">
      <c r="A14" s="29" t="s">
        <v>60</v>
      </c>
      <c r="B14" s="30" t="s">
        <v>55</v>
      </c>
      <c r="C14" s="31" t="s">
        <v>1000</v>
      </c>
      <c r="D14" s="31" t="s">
        <v>1001</v>
      </c>
      <c r="E14" s="31" t="s">
        <v>1002</v>
      </c>
      <c r="F14" s="31" t="s">
        <v>1003</v>
      </c>
      <c r="G14" s="30" t="s">
        <v>1004</v>
      </c>
      <c r="H14" s="31" t="s">
        <v>1005</v>
      </c>
    </row>
    <row r="15" customFormat="false" ht="57.75" hidden="false" customHeight="true" outlineLevel="0" collapsed="false">
      <c r="A15" s="29" t="s">
        <v>66</v>
      </c>
      <c r="B15" s="30" t="s">
        <v>55</v>
      </c>
      <c r="C15" s="31" t="s">
        <v>1006</v>
      </c>
      <c r="D15" s="31" t="s">
        <v>1007</v>
      </c>
      <c r="E15" s="31" t="s">
        <v>283</v>
      </c>
      <c r="F15" s="31" t="s">
        <v>1008</v>
      </c>
      <c r="G15" s="30" t="s">
        <v>58</v>
      </c>
      <c r="H15" s="31" t="s">
        <v>1009</v>
      </c>
    </row>
    <row r="16" customFormat="false" ht="57.75" hidden="false" customHeight="true" outlineLevel="0" collapsed="false">
      <c r="A16" s="29" t="s">
        <v>70</v>
      </c>
      <c r="B16" s="30" t="s">
        <v>55</v>
      </c>
      <c r="C16" s="31" t="s">
        <v>1010</v>
      </c>
      <c r="D16" s="31" t="s">
        <v>1011</v>
      </c>
      <c r="E16" s="31" t="s">
        <v>285</v>
      </c>
      <c r="F16" s="31" t="s">
        <v>72</v>
      </c>
      <c r="G16" s="30" t="s">
        <v>58</v>
      </c>
      <c r="H16" s="31" t="s">
        <v>1012</v>
      </c>
    </row>
    <row r="17" customFormat="false" ht="57.75" hidden="false" customHeight="true" outlineLevel="0" collapsed="false">
      <c r="A17" s="32" t="s">
        <v>73</v>
      </c>
      <c r="B17" s="33" t="s">
        <v>74</v>
      </c>
      <c r="C17" s="34" t="s">
        <v>1013</v>
      </c>
      <c r="D17" s="34" t="s">
        <v>1014</v>
      </c>
      <c r="E17" s="34" t="s">
        <v>288</v>
      </c>
      <c r="F17" s="34" t="s">
        <v>76</v>
      </c>
      <c r="G17" s="33" t="s">
        <v>77</v>
      </c>
      <c r="H17" s="34" t="s">
        <v>1015</v>
      </c>
    </row>
    <row r="18" customFormat="false" ht="57.75" hidden="false" customHeight="true" outlineLevel="0" collapsed="false">
      <c r="A18" s="32" t="s">
        <v>79</v>
      </c>
      <c r="B18" s="33" t="s">
        <v>74</v>
      </c>
      <c r="C18" s="34" t="s">
        <v>1016</v>
      </c>
      <c r="D18" s="34" t="s">
        <v>1017</v>
      </c>
      <c r="E18" s="34" t="s">
        <v>1018</v>
      </c>
      <c r="F18" s="34" t="s">
        <v>1019</v>
      </c>
      <c r="G18" s="33" t="s">
        <v>83</v>
      </c>
      <c r="H18" s="34" t="s">
        <v>1020</v>
      </c>
    </row>
    <row r="19" customFormat="false" ht="57.75" hidden="false" customHeight="true" outlineLevel="0" collapsed="false">
      <c r="A19" s="32" t="s">
        <v>85</v>
      </c>
      <c r="B19" s="33" t="s">
        <v>74</v>
      </c>
      <c r="C19" s="34" t="s">
        <v>1021</v>
      </c>
      <c r="D19" s="34" t="s">
        <v>1022</v>
      </c>
      <c r="E19" s="34" t="s">
        <v>1023</v>
      </c>
      <c r="F19" s="34" t="s">
        <v>1024</v>
      </c>
      <c r="G19" s="33" t="s">
        <v>89</v>
      </c>
      <c r="H19" s="34" t="s">
        <v>1025</v>
      </c>
    </row>
    <row r="20" customFormat="false" ht="57.75" hidden="false" customHeight="true" outlineLevel="0" collapsed="false">
      <c r="A20" s="32" t="s">
        <v>91</v>
      </c>
      <c r="B20" s="33" t="s">
        <v>74</v>
      </c>
      <c r="C20" s="34" t="s">
        <v>1026</v>
      </c>
      <c r="D20" s="34" t="s">
        <v>1027</v>
      </c>
      <c r="E20" s="34" t="s">
        <v>1028</v>
      </c>
      <c r="F20" s="34" t="s">
        <v>1029</v>
      </c>
      <c r="G20" s="33" t="s">
        <v>89</v>
      </c>
      <c r="H20" s="34" t="s">
        <v>94</v>
      </c>
    </row>
    <row r="21" customFormat="false" ht="57.75" hidden="false" customHeight="true" outlineLevel="0" collapsed="false">
      <c r="A21" s="32" t="s">
        <v>95</v>
      </c>
      <c r="B21" s="33" t="s">
        <v>74</v>
      </c>
      <c r="C21" s="34" t="s">
        <v>1030</v>
      </c>
      <c r="D21" s="34" t="s">
        <v>1031</v>
      </c>
      <c r="E21" s="34" t="s">
        <v>298</v>
      </c>
      <c r="F21" s="34" t="s">
        <v>97</v>
      </c>
      <c r="G21" s="33" t="s">
        <v>58</v>
      </c>
      <c r="H21" s="34" t="s">
        <v>1032</v>
      </c>
    </row>
    <row r="22" customFormat="false" ht="57.75" hidden="false" customHeight="true" outlineLevel="0" collapsed="false">
      <c r="A22" s="32" t="s">
        <v>108</v>
      </c>
      <c r="B22" s="33" t="s">
        <v>74</v>
      </c>
      <c r="C22" s="34" t="s">
        <v>1033</v>
      </c>
      <c r="D22" s="34" t="s">
        <v>1034</v>
      </c>
      <c r="E22" s="34" t="s">
        <v>304</v>
      </c>
      <c r="F22" s="34" t="s">
        <v>1035</v>
      </c>
      <c r="G22" s="33" t="s">
        <v>58</v>
      </c>
      <c r="H22" s="34" t="s">
        <v>112</v>
      </c>
    </row>
    <row r="23" customFormat="false" ht="57.75" hidden="false" customHeight="true" outlineLevel="0" collapsed="false">
      <c r="A23" s="36" t="s">
        <v>117</v>
      </c>
      <c r="B23" s="37" t="s">
        <v>1036</v>
      </c>
      <c r="C23" s="38" t="s">
        <v>1037</v>
      </c>
      <c r="D23" s="38" t="s">
        <v>1038</v>
      </c>
      <c r="E23" s="38" t="s">
        <v>1039</v>
      </c>
      <c r="F23" s="38" t="s">
        <v>122</v>
      </c>
      <c r="G23" s="37" t="s">
        <v>1040</v>
      </c>
      <c r="H23" s="38" t="s">
        <v>1041</v>
      </c>
    </row>
    <row r="24" customFormat="false" ht="57.75" hidden="false" customHeight="true" outlineLevel="0" collapsed="false">
      <c r="A24" s="36" t="s">
        <v>125</v>
      </c>
      <c r="B24" s="37" t="s">
        <v>1036</v>
      </c>
      <c r="C24" s="38" t="s">
        <v>1042</v>
      </c>
      <c r="D24" s="38" t="s">
        <v>1043</v>
      </c>
      <c r="E24" s="38" t="s">
        <v>1044</v>
      </c>
      <c r="F24" s="38" t="s">
        <v>316</v>
      </c>
      <c r="G24" s="37" t="s">
        <v>1045</v>
      </c>
      <c r="H24" s="38" t="s">
        <v>1046</v>
      </c>
    </row>
    <row r="25" customFormat="false" ht="57.75" hidden="false" customHeight="true" outlineLevel="0" collapsed="false">
      <c r="A25" s="36" t="s">
        <v>131</v>
      </c>
      <c r="B25" s="37" t="s">
        <v>1036</v>
      </c>
      <c r="C25" s="38" t="s">
        <v>1047</v>
      </c>
      <c r="D25" s="38" t="s">
        <v>1048</v>
      </c>
      <c r="E25" s="38" t="s">
        <v>317</v>
      </c>
      <c r="F25" s="38" t="s">
        <v>1049</v>
      </c>
      <c r="G25" s="37" t="s">
        <v>89</v>
      </c>
      <c r="H25" s="38" t="s">
        <v>1050</v>
      </c>
    </row>
    <row r="26" customFormat="false" ht="57.75" hidden="false" customHeight="true" outlineLevel="0" collapsed="false">
      <c r="A26" s="36" t="s">
        <v>138</v>
      </c>
      <c r="B26" s="37" t="s">
        <v>1036</v>
      </c>
      <c r="C26" s="38" t="s">
        <v>1051</v>
      </c>
      <c r="D26" s="38" t="s">
        <v>141</v>
      </c>
      <c r="E26" s="38" t="s">
        <v>320</v>
      </c>
      <c r="F26" s="38" t="s">
        <v>142</v>
      </c>
      <c r="G26" s="37" t="s">
        <v>58</v>
      </c>
      <c r="H26" s="38" t="s">
        <v>1052</v>
      </c>
    </row>
    <row r="27" customFormat="false" ht="57.75" hidden="false" customHeight="true" outlineLevel="0" collapsed="false">
      <c r="A27" s="36" t="s">
        <v>144</v>
      </c>
      <c r="B27" s="37" t="s">
        <v>1036</v>
      </c>
      <c r="C27" s="38" t="s">
        <v>1053</v>
      </c>
      <c r="D27" s="38" t="s">
        <v>147</v>
      </c>
      <c r="E27" s="38" t="s">
        <v>148</v>
      </c>
      <c r="F27" s="38" t="s">
        <v>1054</v>
      </c>
      <c r="G27" s="37" t="s">
        <v>129</v>
      </c>
      <c r="H27" s="38" t="s">
        <v>1055</v>
      </c>
    </row>
    <row r="28" customFormat="false" ht="57.75" hidden="false" customHeight="true" outlineLevel="0" collapsed="false">
      <c r="A28" s="36" t="s">
        <v>168</v>
      </c>
      <c r="B28" s="37" t="s">
        <v>1036</v>
      </c>
      <c r="C28" s="38" t="s">
        <v>1056</v>
      </c>
      <c r="D28" s="38" t="s">
        <v>1057</v>
      </c>
      <c r="E28" s="38" t="s">
        <v>328</v>
      </c>
      <c r="F28" s="38" t="s">
        <v>1058</v>
      </c>
      <c r="G28" s="37" t="s">
        <v>1059</v>
      </c>
      <c r="H28" s="38" t="s">
        <v>1060</v>
      </c>
    </row>
    <row r="29" customFormat="false" ht="57.75" hidden="false" customHeight="true" outlineLevel="0" collapsed="false">
      <c r="A29" s="39" t="s">
        <v>174</v>
      </c>
      <c r="B29" s="40" t="s">
        <v>1061</v>
      </c>
      <c r="C29" s="41" t="s">
        <v>1062</v>
      </c>
      <c r="D29" s="41" t="s">
        <v>1063</v>
      </c>
      <c r="E29" s="41" t="s">
        <v>1064</v>
      </c>
      <c r="F29" s="41" t="s">
        <v>178</v>
      </c>
      <c r="G29" s="40" t="s">
        <v>1065</v>
      </c>
      <c r="H29" s="41" t="s">
        <v>1066</v>
      </c>
    </row>
    <row r="30" customFormat="false" ht="57.75" hidden="false" customHeight="true" outlineLevel="0" collapsed="false">
      <c r="A30" s="39" t="s">
        <v>238</v>
      </c>
      <c r="B30" s="40" t="s">
        <v>1061</v>
      </c>
      <c r="C30" s="41" t="s">
        <v>1067</v>
      </c>
      <c r="D30" s="41" t="s">
        <v>239</v>
      </c>
      <c r="E30" s="41" t="s">
        <v>363</v>
      </c>
      <c r="F30" s="41" t="s">
        <v>240</v>
      </c>
      <c r="G30" s="40" t="s">
        <v>58</v>
      </c>
      <c r="H30" s="41" t="s">
        <v>1068</v>
      </c>
    </row>
    <row r="31" customFormat="false" ht="57.75" hidden="false" customHeight="true" outlineLevel="0" collapsed="false">
      <c r="A31" s="39" t="s">
        <v>231</v>
      </c>
      <c r="B31" s="40" t="s">
        <v>1061</v>
      </c>
      <c r="C31" s="41" t="s">
        <v>1069</v>
      </c>
      <c r="D31" s="41" t="s">
        <v>1070</v>
      </c>
      <c r="E31" s="41" t="s">
        <v>361</v>
      </c>
      <c r="F31" s="41" t="s">
        <v>235</v>
      </c>
      <c r="G31" s="40" t="s">
        <v>236</v>
      </c>
      <c r="H31" s="41" t="s">
        <v>1071</v>
      </c>
    </row>
    <row r="32" customFormat="false" ht="57.75" hidden="false" customHeight="true" outlineLevel="0" collapsed="false">
      <c r="A32" s="39" t="s">
        <v>225</v>
      </c>
      <c r="B32" s="40" t="s">
        <v>1061</v>
      </c>
      <c r="C32" s="41" t="s">
        <v>1072</v>
      </c>
      <c r="D32" s="41" t="s">
        <v>227</v>
      </c>
      <c r="E32" s="41" t="s">
        <v>358</v>
      </c>
      <c r="F32" s="41" t="s">
        <v>1073</v>
      </c>
      <c r="G32" s="40" t="s">
        <v>229</v>
      </c>
      <c r="H32" s="41" t="s">
        <v>1074</v>
      </c>
    </row>
    <row r="33" customFormat="false" ht="57.75" hidden="false" customHeight="true" outlineLevel="0" collapsed="false">
      <c r="A33" s="39" t="s">
        <v>195</v>
      </c>
      <c r="B33" s="40" t="s">
        <v>1061</v>
      </c>
      <c r="C33" s="41" t="s">
        <v>1075</v>
      </c>
      <c r="D33" s="41" t="s">
        <v>1076</v>
      </c>
      <c r="E33" s="41" t="s">
        <v>343</v>
      </c>
      <c r="F33" s="41" t="s">
        <v>1077</v>
      </c>
      <c r="G33" s="40" t="s">
        <v>1078</v>
      </c>
      <c r="H33" s="41" t="s">
        <v>1079</v>
      </c>
    </row>
    <row r="34" customFormat="false" ht="57.75" hidden="false" customHeight="true" outlineLevel="0" collapsed="false">
      <c r="A34" s="39" t="s">
        <v>222</v>
      </c>
      <c r="B34" s="40" t="s">
        <v>1061</v>
      </c>
      <c r="C34" s="41" t="s">
        <v>1080</v>
      </c>
      <c r="D34" s="41" t="s">
        <v>1081</v>
      </c>
      <c r="E34" s="41" t="s">
        <v>356</v>
      </c>
      <c r="F34" s="41" t="s">
        <v>224</v>
      </c>
      <c r="G34" s="40" t="s">
        <v>1078</v>
      </c>
      <c r="H34" s="41" t="s">
        <v>1082</v>
      </c>
    </row>
    <row r="36" customFormat="false" ht="27.75" hidden="false" customHeight="true" outlineLevel="0" collapsed="false">
      <c r="A36" s="35" t="s">
        <v>1083</v>
      </c>
      <c r="B36" s="35"/>
      <c r="C36" s="35"/>
      <c r="D36" s="35"/>
      <c r="E36" s="35"/>
      <c r="F36" s="35"/>
      <c r="G36" s="35"/>
      <c r="H36" s="35"/>
    </row>
  </sheetData>
  <autoFilter ref="A3:H34"/>
  <mergeCells count="2">
    <mergeCell ref="A1:H1"/>
    <mergeCell ref="A36:H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16E00"/>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48"/>
    <col collapsed="false" customWidth="true" hidden="false" outlineLevel="0" max="3" min="3" style="0" width="38"/>
    <col collapsed="false" customWidth="true" hidden="false" outlineLevel="0" max="4" min="4" style="0" width="42"/>
    <col collapsed="false" customWidth="true" hidden="false" outlineLevel="0" max="5" min="5" style="0" width="40"/>
    <col collapsed="false" customWidth="true" hidden="false" outlineLevel="0" max="6" min="6" style="0" width="26"/>
  </cols>
  <sheetData>
    <row r="1" customFormat="false" ht="24" hidden="false" customHeight="true" outlineLevel="0" collapsed="false">
      <c r="A1" s="1" t="s">
        <v>1084</v>
      </c>
    </row>
    <row r="2" customFormat="false" ht="15.75" hidden="false" customHeight="true" outlineLevel="0" collapsed="false">
      <c r="A2" s="2" t="s">
        <v>1085</v>
      </c>
    </row>
    <row r="3" customFormat="false" ht="13.5" hidden="false" customHeight="true" outlineLevel="0" collapsed="false">
      <c r="A3" s="3" t="s">
        <v>1086</v>
      </c>
    </row>
    <row r="4" customFormat="false" ht="6" hidden="false" customHeight="true" outlineLevel="0" collapsed="false"/>
    <row r="5" customFormat="false" ht="27.75" hidden="false" customHeight="true" outlineLevel="0" collapsed="false">
      <c r="A5" s="6" t="s">
        <v>1087</v>
      </c>
      <c r="B5" s="6" t="s">
        <v>1088</v>
      </c>
      <c r="C5" s="6" t="s">
        <v>1089</v>
      </c>
      <c r="D5" s="6" t="s">
        <v>1090</v>
      </c>
      <c r="E5" s="6" t="s">
        <v>1091</v>
      </c>
      <c r="F5" s="6" t="s">
        <v>1092</v>
      </c>
    </row>
    <row r="6" customFormat="false" ht="35.05" hidden="false" customHeight="false" outlineLevel="0" collapsed="false">
      <c r="A6" s="7" t="s">
        <v>1093</v>
      </c>
      <c r="B6" s="8" t="s">
        <v>1094</v>
      </c>
      <c r="C6" s="8" t="s">
        <v>1095</v>
      </c>
      <c r="D6" s="8" t="s">
        <v>1096</v>
      </c>
      <c r="E6" s="8" t="s">
        <v>1097</v>
      </c>
      <c r="F6" s="48"/>
    </row>
    <row r="7" customFormat="false" ht="35.05" hidden="false" customHeight="false" outlineLevel="0" collapsed="false">
      <c r="A7" s="7" t="s">
        <v>1098</v>
      </c>
      <c r="B7" s="8" t="s">
        <v>1099</v>
      </c>
      <c r="C7" s="8" t="s">
        <v>1100</v>
      </c>
      <c r="D7" s="8" t="s">
        <v>1101</v>
      </c>
      <c r="E7" s="8" t="s">
        <v>1102</v>
      </c>
      <c r="F7" s="48"/>
    </row>
    <row r="8" customFormat="false" ht="35.05" hidden="false" customHeight="false" outlineLevel="0" collapsed="false">
      <c r="A8" s="7" t="s">
        <v>1103</v>
      </c>
      <c r="B8" s="8" t="s">
        <v>1104</v>
      </c>
      <c r="C8" s="8" t="s">
        <v>1105</v>
      </c>
      <c r="D8" s="8" t="s">
        <v>1106</v>
      </c>
      <c r="E8" s="8"/>
      <c r="F8" s="48"/>
    </row>
    <row r="9" customFormat="false" ht="35.05" hidden="false" customHeight="false" outlineLevel="0" collapsed="false">
      <c r="A9" s="7" t="s">
        <v>1107</v>
      </c>
      <c r="B9" s="8" t="s">
        <v>1108</v>
      </c>
      <c r="C9" s="8" t="s">
        <v>1109</v>
      </c>
      <c r="D9" s="8" t="s">
        <v>1110</v>
      </c>
      <c r="E9" s="8" t="s">
        <v>1111</v>
      </c>
      <c r="F9" s="48"/>
    </row>
    <row r="10" customFormat="false" ht="35.05" hidden="false" customHeight="false" outlineLevel="0" collapsed="false">
      <c r="A10" s="7" t="s">
        <v>1112</v>
      </c>
      <c r="B10" s="8" t="s">
        <v>1113</v>
      </c>
      <c r="C10" s="8" t="s">
        <v>1114</v>
      </c>
      <c r="D10" s="8" t="s">
        <v>1115</v>
      </c>
      <c r="E10" s="8" t="s">
        <v>1116</v>
      </c>
      <c r="F10" s="48"/>
    </row>
    <row r="11" customFormat="false" ht="35.05" hidden="false" customHeight="false" outlineLevel="0" collapsed="false">
      <c r="A11" s="7" t="s">
        <v>1117</v>
      </c>
      <c r="B11" s="8" t="s">
        <v>1118</v>
      </c>
      <c r="C11" s="8" t="s">
        <v>1119</v>
      </c>
      <c r="D11" s="8" t="s">
        <v>1120</v>
      </c>
      <c r="E11" s="8"/>
      <c r="F11" s="48"/>
    </row>
    <row r="12" customFormat="false" ht="23.85" hidden="false" customHeight="false" outlineLevel="0" collapsed="false">
      <c r="A12" s="7" t="s">
        <v>1121</v>
      </c>
      <c r="B12" s="8" t="s">
        <v>1122</v>
      </c>
      <c r="C12" s="8" t="s">
        <v>1123</v>
      </c>
      <c r="D12" s="8" t="s">
        <v>1124</v>
      </c>
      <c r="E12" s="8" t="s">
        <v>1125</v>
      </c>
      <c r="F12" s="48"/>
    </row>
    <row r="13" customFormat="false" ht="35.05" hidden="false" customHeight="false" outlineLevel="0" collapsed="false">
      <c r="A13" s="7" t="s">
        <v>1126</v>
      </c>
      <c r="B13" s="8" t="s">
        <v>1127</v>
      </c>
      <c r="C13" s="8" t="s">
        <v>1128</v>
      </c>
      <c r="D13" s="8" t="s">
        <v>1129</v>
      </c>
      <c r="E13" s="8"/>
      <c r="F13" s="48"/>
    </row>
    <row r="14" customFormat="false" ht="23.85" hidden="false" customHeight="false" outlineLevel="0" collapsed="false">
      <c r="A14" s="7" t="s">
        <v>1130</v>
      </c>
      <c r="B14" s="8" t="s">
        <v>1131</v>
      </c>
      <c r="C14" s="8" t="s">
        <v>1132</v>
      </c>
      <c r="D14" s="8" t="s">
        <v>1133</v>
      </c>
      <c r="E14" s="8"/>
      <c r="F14" s="48"/>
    </row>
    <row r="15" customFormat="false" ht="23.85" hidden="false" customHeight="false" outlineLevel="0" collapsed="false">
      <c r="A15" s="7" t="s">
        <v>1134</v>
      </c>
      <c r="B15" s="8" t="s">
        <v>1135</v>
      </c>
      <c r="C15" s="8" t="s">
        <v>1136</v>
      </c>
      <c r="D15" s="8" t="s">
        <v>1137</v>
      </c>
      <c r="E15" s="8"/>
      <c r="F15" s="48"/>
    </row>
    <row r="16" customFormat="false" ht="23.85" hidden="false" customHeight="false" outlineLevel="0" collapsed="false">
      <c r="A16" s="7" t="s">
        <v>1138</v>
      </c>
      <c r="B16" s="8" t="s">
        <v>1139</v>
      </c>
      <c r="C16" s="8" t="s">
        <v>1140</v>
      </c>
      <c r="D16" s="8" t="s">
        <v>1141</v>
      </c>
      <c r="E16" s="8" t="s">
        <v>1142</v>
      </c>
      <c r="F16" s="48"/>
    </row>
    <row r="17" customFormat="false" ht="23.85" hidden="false" customHeight="false" outlineLevel="0" collapsed="false">
      <c r="A17" s="7" t="s">
        <v>1143</v>
      </c>
      <c r="B17" s="8" t="s">
        <v>1144</v>
      </c>
      <c r="C17" s="8" t="s">
        <v>1145</v>
      </c>
      <c r="D17" s="8" t="s">
        <v>1146</v>
      </c>
      <c r="E17" s="8"/>
      <c r="F17" s="48"/>
    </row>
    <row r="18" customFormat="false" ht="23.85" hidden="false" customHeight="false" outlineLevel="0" collapsed="false">
      <c r="A18" s="7" t="s">
        <v>1147</v>
      </c>
      <c r="B18" s="8" t="s">
        <v>1148</v>
      </c>
      <c r="C18" s="8" t="s">
        <v>1149</v>
      </c>
      <c r="D18" s="8" t="s">
        <v>1150</v>
      </c>
      <c r="E18" s="8" t="s">
        <v>1151</v>
      </c>
      <c r="F18" s="48"/>
    </row>
    <row r="20" customFormat="false" ht="39.75" hidden="false" customHeight="true" outlineLevel="0" collapsed="false">
      <c r="A20" s="10" t="s">
        <v>1152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G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1" width="25"/>
    <col collapsed="false" customWidth="true" hidden="false" outlineLevel="0" max="3" min="2" style="11" width="8"/>
    <col collapsed="false" customWidth="true" hidden="false" outlineLevel="0" max="4" min="4" style="11" width="10"/>
    <col collapsed="false" customWidth="true" hidden="false" outlineLevel="0" max="5" min="5" style="11" width="8"/>
    <col collapsed="false" customWidth="true" hidden="false" outlineLevel="0" max="6" min="6" style="11" width="46"/>
    <col collapsed="false" customWidth="true" hidden="false" outlineLevel="0" max="7" min="7" style="11" width="36"/>
  </cols>
  <sheetData>
    <row r="1" customFormat="false" ht="24" hidden="false" customHeight="true" outlineLevel="0" collapsed="false">
      <c r="A1" s="12" t="s">
        <v>1153</v>
      </c>
      <c r="B1" s="12"/>
      <c r="C1" s="12"/>
      <c r="D1" s="12"/>
      <c r="E1" s="12"/>
      <c r="F1" s="12"/>
      <c r="G1" s="12"/>
    </row>
    <row r="3" customFormat="false" ht="19.5" hidden="false" customHeight="true" outlineLevel="0" collapsed="false">
      <c r="A3" s="17" t="s">
        <v>249</v>
      </c>
      <c r="B3" s="17" t="s">
        <v>1154</v>
      </c>
      <c r="C3" s="17" t="s">
        <v>1155</v>
      </c>
      <c r="D3" s="17" t="s">
        <v>1156</v>
      </c>
      <c r="E3" s="17" t="s">
        <v>1157</v>
      </c>
      <c r="F3" s="17" t="s">
        <v>1158</v>
      </c>
      <c r="G3" s="17" t="s">
        <v>1159</v>
      </c>
    </row>
    <row r="4" customFormat="false" ht="25.5" hidden="false" customHeight="true" outlineLevel="0" collapsed="false">
      <c r="A4" s="23" t="s">
        <v>60</v>
      </c>
      <c r="B4" s="24" t="n">
        <v>4</v>
      </c>
      <c r="C4" s="24" t="n">
        <v>0</v>
      </c>
      <c r="D4" s="24" t="n">
        <v>0</v>
      </c>
      <c r="E4" s="24" t="s">
        <v>1160</v>
      </c>
      <c r="F4" s="25" t="s">
        <v>1161</v>
      </c>
      <c r="G4" s="25" t="s">
        <v>1162</v>
      </c>
    </row>
    <row r="5" customFormat="false" ht="25.5" hidden="false" customHeight="true" outlineLevel="0" collapsed="false">
      <c r="A5" s="23" t="s">
        <v>18</v>
      </c>
      <c r="B5" s="24" t="n">
        <v>2</v>
      </c>
      <c r="C5" s="24" t="n">
        <v>2</v>
      </c>
      <c r="D5" s="24" t="n">
        <v>1</v>
      </c>
      <c r="E5" s="24" t="s">
        <v>1163</v>
      </c>
      <c r="F5" s="25" t="s">
        <v>1164</v>
      </c>
      <c r="G5" s="25" t="s">
        <v>1165</v>
      </c>
    </row>
    <row r="6" customFormat="false" ht="25.5" hidden="false" customHeight="true" outlineLevel="0" collapsed="false">
      <c r="A6" s="23" t="s">
        <v>30</v>
      </c>
      <c r="B6" s="24" t="n">
        <v>1</v>
      </c>
      <c r="C6" s="24" t="n">
        <v>1</v>
      </c>
      <c r="D6" s="24" t="n">
        <v>3</v>
      </c>
      <c r="E6" s="24" t="s">
        <v>1163</v>
      </c>
      <c r="F6" s="25" t="s">
        <v>1166</v>
      </c>
      <c r="G6" s="25" t="s">
        <v>1167</v>
      </c>
    </row>
    <row r="7" customFormat="false" ht="25.5" hidden="false" customHeight="true" outlineLevel="0" collapsed="false">
      <c r="A7" s="23" t="s">
        <v>50</v>
      </c>
      <c r="B7" s="24" t="n">
        <v>3</v>
      </c>
      <c r="C7" s="24" t="n">
        <v>0</v>
      </c>
      <c r="D7" s="24" t="n">
        <v>1</v>
      </c>
      <c r="E7" s="24" t="s">
        <v>1160</v>
      </c>
      <c r="F7" s="25" t="s">
        <v>1168</v>
      </c>
      <c r="G7" s="25" t="s">
        <v>1169</v>
      </c>
    </row>
    <row r="8" customFormat="false" ht="25.5" hidden="false" customHeight="true" outlineLevel="0" collapsed="false">
      <c r="A8" s="23" t="s">
        <v>54</v>
      </c>
      <c r="B8" s="24" t="n">
        <v>0</v>
      </c>
      <c r="C8" s="24" t="n">
        <v>1</v>
      </c>
      <c r="D8" s="24" t="n">
        <v>2</v>
      </c>
      <c r="E8" s="24" t="s">
        <v>1170</v>
      </c>
      <c r="F8" s="25" t="s">
        <v>1171</v>
      </c>
      <c r="G8" s="25" t="s">
        <v>1172</v>
      </c>
    </row>
    <row r="9" customFormat="false" ht="25.5" hidden="false" customHeight="true" outlineLevel="0" collapsed="false">
      <c r="A9" s="23" t="s">
        <v>79</v>
      </c>
      <c r="B9" s="24" t="n">
        <v>3</v>
      </c>
      <c r="C9" s="24" t="n">
        <v>0</v>
      </c>
      <c r="D9" s="24" t="n">
        <v>0</v>
      </c>
      <c r="E9" s="24" t="s">
        <v>1173</v>
      </c>
      <c r="F9" s="25" t="s">
        <v>1174</v>
      </c>
      <c r="G9" s="25" t="s">
        <v>1175</v>
      </c>
    </row>
    <row r="10" customFormat="false" ht="25.5" hidden="false" customHeight="true" outlineLevel="0" collapsed="false">
      <c r="A10" s="23" t="s">
        <v>95</v>
      </c>
      <c r="B10" s="24" t="n">
        <v>1</v>
      </c>
      <c r="C10" s="24" t="n">
        <v>0</v>
      </c>
      <c r="D10" s="24" t="n">
        <v>2</v>
      </c>
      <c r="E10" s="24" t="s">
        <v>1170</v>
      </c>
      <c r="F10" s="25" t="s">
        <v>1176</v>
      </c>
      <c r="G10" s="25" t="s">
        <v>1177</v>
      </c>
    </row>
    <row r="11" customFormat="false" ht="25.5" hidden="false" customHeight="true" outlineLevel="0" collapsed="false">
      <c r="A11" s="23" t="s">
        <v>1178</v>
      </c>
      <c r="B11" s="24" t="n">
        <v>2</v>
      </c>
      <c r="C11" s="24" t="n">
        <v>0</v>
      </c>
      <c r="D11" s="24" t="n">
        <v>0</v>
      </c>
      <c r="E11" s="24" t="s">
        <v>1179</v>
      </c>
      <c r="F11" s="25" t="s">
        <v>1180</v>
      </c>
      <c r="G11" s="25" t="s">
        <v>1181</v>
      </c>
    </row>
    <row r="12" customFormat="false" ht="25.5" hidden="false" customHeight="true" outlineLevel="0" collapsed="false">
      <c r="A12" s="23" t="s">
        <v>70</v>
      </c>
      <c r="B12" s="24" t="n">
        <v>2</v>
      </c>
      <c r="C12" s="24" t="n">
        <v>0</v>
      </c>
      <c r="D12" s="24" t="n">
        <v>0</v>
      </c>
      <c r="E12" s="24" t="s">
        <v>1179</v>
      </c>
      <c r="F12" s="25" t="s">
        <v>1182</v>
      </c>
      <c r="G12" s="25" t="s">
        <v>1183</v>
      </c>
    </row>
    <row r="13" customFormat="false" ht="25.5" hidden="false" customHeight="true" outlineLevel="0" collapsed="false">
      <c r="A13" s="23" t="s">
        <v>38</v>
      </c>
      <c r="B13" s="24" t="n">
        <v>0</v>
      </c>
      <c r="C13" s="24" t="n">
        <v>0</v>
      </c>
      <c r="D13" s="24" t="n">
        <v>2</v>
      </c>
      <c r="E13" s="24" t="s">
        <v>1179</v>
      </c>
      <c r="F13" s="25" t="s">
        <v>1184</v>
      </c>
      <c r="G13" s="25" t="s">
        <v>1185</v>
      </c>
    </row>
    <row r="14" customFormat="false" ht="25.5" hidden="false" customHeight="true" outlineLevel="0" collapsed="false">
      <c r="A14" s="23" t="s">
        <v>85</v>
      </c>
      <c r="B14" s="24" t="n">
        <v>1</v>
      </c>
      <c r="C14" s="24" t="n">
        <v>1</v>
      </c>
      <c r="D14" s="24" t="n">
        <v>0</v>
      </c>
      <c r="E14" s="24" t="s">
        <v>1186</v>
      </c>
      <c r="F14" s="25" t="s">
        <v>1187</v>
      </c>
      <c r="G14" s="25" t="s">
        <v>1188</v>
      </c>
    </row>
    <row r="15" customFormat="false" ht="25.5" hidden="false" customHeight="true" outlineLevel="0" collapsed="false">
      <c r="A15" s="23" t="s">
        <v>26</v>
      </c>
      <c r="B15" s="24" t="n">
        <v>1</v>
      </c>
      <c r="C15" s="24" t="n">
        <v>0</v>
      </c>
      <c r="D15" s="24" t="n">
        <v>0</v>
      </c>
      <c r="E15" s="24" t="s">
        <v>1189</v>
      </c>
      <c r="F15" s="25" t="s">
        <v>1190</v>
      </c>
      <c r="G15" s="25" t="s">
        <v>1191</v>
      </c>
    </row>
    <row r="16" customFormat="false" ht="25.5" hidden="false" customHeight="true" outlineLevel="0" collapsed="false">
      <c r="A16" s="23" t="s">
        <v>41</v>
      </c>
      <c r="B16" s="24" t="n">
        <v>1</v>
      </c>
      <c r="C16" s="24" t="n">
        <v>0</v>
      </c>
      <c r="D16" s="24" t="n">
        <v>0</v>
      </c>
      <c r="E16" s="24" t="s">
        <v>1189</v>
      </c>
      <c r="F16" s="25" t="s">
        <v>1192</v>
      </c>
      <c r="G16" s="25" t="s">
        <v>1193</v>
      </c>
    </row>
    <row r="17" customFormat="false" ht="25.5" hidden="false" customHeight="true" outlineLevel="0" collapsed="false">
      <c r="A17" s="23" t="s">
        <v>34</v>
      </c>
      <c r="B17" s="24" t="n">
        <v>0</v>
      </c>
      <c r="C17" s="24" t="n">
        <v>0</v>
      </c>
      <c r="D17" s="24" t="n">
        <v>1</v>
      </c>
      <c r="E17" s="24" t="s">
        <v>1189</v>
      </c>
      <c r="F17" s="25" t="s">
        <v>1194</v>
      </c>
      <c r="G17" s="25" t="s">
        <v>1195</v>
      </c>
    </row>
    <row r="18" customFormat="false" ht="25.5" hidden="false" customHeight="true" outlineLevel="0" collapsed="false">
      <c r="A18" s="23" t="s">
        <v>43</v>
      </c>
      <c r="B18" s="24" t="n">
        <v>0</v>
      </c>
      <c r="C18" s="24" t="n">
        <v>0</v>
      </c>
      <c r="D18" s="24" t="n">
        <v>1</v>
      </c>
      <c r="E18" s="24" t="s">
        <v>1189</v>
      </c>
      <c r="F18" s="25" t="s">
        <v>1196</v>
      </c>
      <c r="G18" s="25" t="s">
        <v>1197</v>
      </c>
    </row>
    <row r="19" customFormat="false" ht="25.5" hidden="false" customHeight="true" outlineLevel="0" collapsed="false">
      <c r="A19" s="23" t="s">
        <v>105</v>
      </c>
      <c r="B19" s="24" t="n">
        <v>0</v>
      </c>
      <c r="C19" s="24" t="n">
        <v>1</v>
      </c>
      <c r="D19" s="24" t="n">
        <v>0</v>
      </c>
      <c r="E19" s="24" t="s">
        <v>1189</v>
      </c>
      <c r="F19" s="25" t="s">
        <v>1198</v>
      </c>
      <c r="G19" s="25" t="s">
        <v>1199</v>
      </c>
    </row>
    <row r="20" customFormat="false" ht="25.5" hidden="false" customHeight="true" outlineLevel="0" collapsed="false">
      <c r="A20" s="23" t="s">
        <v>1200</v>
      </c>
      <c r="B20" s="24" t="n">
        <v>1</v>
      </c>
      <c r="C20" s="24" t="n">
        <v>0</v>
      </c>
      <c r="D20" s="24" t="n">
        <v>0</v>
      </c>
      <c r="E20" s="24" t="s">
        <v>1189</v>
      </c>
      <c r="F20" s="25" t="s">
        <v>1201</v>
      </c>
      <c r="G20" s="25" t="s">
        <v>1202</v>
      </c>
    </row>
    <row r="21" customFormat="false" ht="25.5" hidden="false" customHeight="true" outlineLevel="0" collapsed="false">
      <c r="A21" s="23" t="s">
        <v>91</v>
      </c>
      <c r="B21" s="24" t="n">
        <v>1</v>
      </c>
      <c r="C21" s="24" t="n">
        <v>0</v>
      </c>
      <c r="D21" s="24" t="n">
        <v>0</v>
      </c>
      <c r="E21" s="24" t="s">
        <v>1189</v>
      </c>
      <c r="F21" s="25" t="s">
        <v>1203</v>
      </c>
      <c r="G21" s="25" t="s">
        <v>1204</v>
      </c>
    </row>
    <row r="22" customFormat="false" ht="25.5" hidden="false" customHeight="true" outlineLevel="0" collapsed="false">
      <c r="A22" s="23" t="s">
        <v>108</v>
      </c>
      <c r="B22" s="24" t="n">
        <v>1</v>
      </c>
      <c r="C22" s="24" t="n">
        <v>0</v>
      </c>
      <c r="D22" s="24" t="n">
        <v>0</v>
      </c>
      <c r="E22" s="24" t="s">
        <v>1189</v>
      </c>
      <c r="F22" s="25" t="s">
        <v>1205</v>
      </c>
      <c r="G22" s="25" t="s">
        <v>1206</v>
      </c>
    </row>
    <row r="23" customFormat="false" ht="25.5" hidden="false" customHeight="true" outlineLevel="0" collapsed="false">
      <c r="A23" s="23" t="s">
        <v>1207</v>
      </c>
      <c r="B23" s="24" t="n">
        <v>0</v>
      </c>
      <c r="C23" s="24" t="n">
        <v>1</v>
      </c>
      <c r="D23" s="24" t="n">
        <v>0</v>
      </c>
      <c r="E23" s="24" t="s">
        <v>1189</v>
      </c>
      <c r="F23" s="25" t="s">
        <v>1208</v>
      </c>
      <c r="G23" s="25" t="s">
        <v>1209</v>
      </c>
    </row>
    <row r="24" customFormat="false" ht="25.5" hidden="false" customHeight="true" outlineLevel="0" collapsed="false">
      <c r="A24" s="23" t="s">
        <v>1210</v>
      </c>
      <c r="B24" s="24" t="n">
        <v>1</v>
      </c>
      <c r="C24" s="24" t="n">
        <v>0</v>
      </c>
      <c r="D24" s="24" t="n">
        <v>0</v>
      </c>
      <c r="E24" s="24" t="s">
        <v>1189</v>
      </c>
      <c r="F24" s="25" t="s">
        <v>1211</v>
      </c>
      <c r="G24" s="25" t="s">
        <v>1212</v>
      </c>
    </row>
    <row r="25" customFormat="false" ht="25.5" hidden="false" customHeight="true" outlineLevel="0" collapsed="false">
      <c r="A25" s="23"/>
      <c r="B25" s="24"/>
      <c r="C25" s="24"/>
      <c r="D25" s="24"/>
      <c r="E25" s="24"/>
      <c r="F25" s="25"/>
      <c r="G25" s="25"/>
    </row>
    <row r="26" customFormat="false" ht="25.5" hidden="false" customHeight="true" outlineLevel="0" collapsed="false">
      <c r="A26" s="23" t="s">
        <v>1213</v>
      </c>
      <c r="B26" s="24"/>
      <c r="C26" s="24"/>
      <c r="D26" s="24"/>
      <c r="E26" s="24"/>
      <c r="F26" s="25"/>
      <c r="G26" s="25"/>
    </row>
    <row r="27" customFormat="false" ht="25.5" hidden="false" customHeight="true" outlineLevel="0" collapsed="false">
      <c r="A27" s="23" t="s">
        <v>1214</v>
      </c>
      <c r="B27" s="24" t="n">
        <v>2</v>
      </c>
      <c r="C27" s="24" t="n">
        <v>3</v>
      </c>
      <c r="D27" s="24" t="n">
        <v>0</v>
      </c>
      <c r="E27" s="24" t="s">
        <v>1163</v>
      </c>
      <c r="F27" s="25" t="s">
        <v>1215</v>
      </c>
      <c r="G27" s="25" t="s">
        <v>1216</v>
      </c>
    </row>
    <row r="28" customFormat="false" ht="25.5" hidden="false" customHeight="true" outlineLevel="0" collapsed="false">
      <c r="A28" s="23" t="s">
        <v>1217</v>
      </c>
      <c r="B28" s="24" t="n">
        <v>1</v>
      </c>
      <c r="C28" s="24" t="n">
        <v>3</v>
      </c>
      <c r="D28" s="24" t="n">
        <v>0</v>
      </c>
      <c r="E28" s="24" t="s">
        <v>1160</v>
      </c>
      <c r="F28" s="25" t="s">
        <v>1218</v>
      </c>
      <c r="G28" s="25" t="s">
        <v>1219</v>
      </c>
    </row>
    <row r="29" customFormat="false" ht="25.5" hidden="false" customHeight="true" outlineLevel="0" collapsed="false">
      <c r="A29" s="23" t="s">
        <v>1220</v>
      </c>
      <c r="B29" s="24" t="n">
        <v>1</v>
      </c>
      <c r="C29" s="24" t="n">
        <v>1</v>
      </c>
      <c r="D29" s="24" t="n">
        <v>0</v>
      </c>
      <c r="E29" s="24" t="s">
        <v>1179</v>
      </c>
      <c r="F29" s="25" t="s">
        <v>1221</v>
      </c>
      <c r="G29" s="25" t="s">
        <v>1222</v>
      </c>
    </row>
    <row r="30" customFormat="false" ht="25.5" hidden="false" customHeight="true" outlineLevel="0" collapsed="false">
      <c r="A30" s="23" t="s">
        <v>1223</v>
      </c>
      <c r="B30" s="24" t="n">
        <v>0</v>
      </c>
      <c r="C30" s="24" t="n">
        <v>0</v>
      </c>
      <c r="D30" s="24" t="n">
        <v>1</v>
      </c>
      <c r="E30" s="24" t="s">
        <v>1189</v>
      </c>
      <c r="F30" s="25" t="s">
        <v>1224</v>
      </c>
      <c r="G30" s="25" t="s">
        <v>1225</v>
      </c>
    </row>
    <row r="32" customFormat="false" ht="39.75" hidden="false" customHeight="true" outlineLevel="0" collapsed="false">
      <c r="A32" s="35" t="s">
        <v>1226</v>
      </c>
      <c r="B32" s="35"/>
      <c r="C32" s="35"/>
      <c r="D32" s="35"/>
      <c r="E32" s="35"/>
      <c r="F32" s="35"/>
      <c r="G32" s="35"/>
    </row>
  </sheetData>
  <mergeCells count="2">
    <mergeCell ref="A1:G1"/>
    <mergeCell ref="A32:G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H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1" width="11"/>
    <col collapsed="false" customWidth="true" hidden="false" outlineLevel="0" max="2" min="2" style="11" width="13"/>
    <col collapsed="false" customWidth="true" hidden="false" outlineLevel="0" max="3" min="3" style="11" width="21"/>
    <col collapsed="false" customWidth="true" hidden="false" outlineLevel="0" max="4" min="4" style="11" width="22"/>
    <col collapsed="false" customWidth="true" hidden="false" outlineLevel="0" max="5" min="5" style="11" width="16"/>
    <col collapsed="false" customWidth="true" hidden="false" outlineLevel="0" max="6" min="6" style="11" width="30"/>
    <col collapsed="false" customWidth="true" hidden="false" outlineLevel="0" max="7" min="7" style="11" width="26"/>
    <col collapsed="false" customWidth="true" hidden="false" outlineLevel="0" max="8" min="8" style="11" width="44"/>
  </cols>
  <sheetData>
    <row r="1" customFormat="false" ht="24" hidden="false" customHeight="true" outlineLevel="0" collapsed="false">
      <c r="A1" s="12" t="s">
        <v>1227</v>
      </c>
      <c r="B1" s="12"/>
      <c r="C1" s="12"/>
      <c r="D1" s="12"/>
      <c r="E1" s="12"/>
      <c r="F1" s="12"/>
      <c r="G1" s="12"/>
      <c r="H1" s="12"/>
    </row>
    <row r="3" customFormat="false" ht="25.5" hidden="false" customHeight="true" outlineLevel="0" collapsed="false">
      <c r="A3" s="17" t="s">
        <v>1228</v>
      </c>
      <c r="B3" s="17" t="s">
        <v>311</v>
      </c>
      <c r="C3" s="17" t="s">
        <v>1229</v>
      </c>
      <c r="D3" s="17" t="s">
        <v>1230</v>
      </c>
      <c r="E3" s="17" t="s">
        <v>1231</v>
      </c>
      <c r="F3" s="17" t="s">
        <v>1232</v>
      </c>
      <c r="G3" s="17" t="s">
        <v>1233</v>
      </c>
      <c r="H3" s="17" t="s">
        <v>1234</v>
      </c>
    </row>
    <row r="4" customFormat="false" ht="27.75" hidden="false" customHeight="true" outlineLevel="0" collapsed="false">
      <c r="A4" s="24" t="s">
        <v>1235</v>
      </c>
      <c r="B4" s="24" t="s">
        <v>1236</v>
      </c>
      <c r="C4" s="25" t="s">
        <v>168</v>
      </c>
      <c r="D4" s="25" t="s">
        <v>1237</v>
      </c>
      <c r="E4" s="24" t="s">
        <v>1238</v>
      </c>
      <c r="F4" s="25" t="s">
        <v>390</v>
      </c>
      <c r="G4" s="25" t="s">
        <v>390</v>
      </c>
      <c r="H4" s="25" t="s">
        <v>1239</v>
      </c>
    </row>
    <row r="5" customFormat="false" ht="27.75" hidden="false" customHeight="true" outlineLevel="0" collapsed="false">
      <c r="A5" s="24" t="s">
        <v>1240</v>
      </c>
      <c r="B5" s="24" t="s">
        <v>1236</v>
      </c>
      <c r="C5" s="25" t="s">
        <v>168</v>
      </c>
      <c r="D5" s="25" t="s">
        <v>1241</v>
      </c>
      <c r="E5" s="24" t="s">
        <v>1238</v>
      </c>
      <c r="F5" s="25" t="s">
        <v>390</v>
      </c>
      <c r="G5" s="25" t="s">
        <v>390</v>
      </c>
      <c r="H5" s="25" t="s">
        <v>1242</v>
      </c>
    </row>
    <row r="6" customFormat="false" ht="27.75" hidden="false" customHeight="true" outlineLevel="0" collapsed="false">
      <c r="A6" s="24" t="s">
        <v>1243</v>
      </c>
      <c r="B6" s="24" t="s">
        <v>1236</v>
      </c>
      <c r="C6" s="25" t="s">
        <v>150</v>
      </c>
      <c r="D6" s="25" t="s">
        <v>1244</v>
      </c>
      <c r="E6" s="24" t="s">
        <v>1245</v>
      </c>
      <c r="F6" s="25" t="s">
        <v>1246</v>
      </c>
      <c r="G6" s="25" t="s">
        <v>1247</v>
      </c>
      <c r="H6" s="25" t="s">
        <v>1248</v>
      </c>
    </row>
    <row r="7" customFormat="false" ht="27.75" hidden="false" customHeight="true" outlineLevel="0" collapsed="false">
      <c r="A7" s="24" t="s">
        <v>1243</v>
      </c>
      <c r="B7" s="24" t="s">
        <v>1236</v>
      </c>
      <c r="C7" s="25" t="s">
        <v>1249</v>
      </c>
      <c r="D7" s="25" t="s">
        <v>1250</v>
      </c>
      <c r="E7" s="24" t="s">
        <v>1251</v>
      </c>
      <c r="F7" s="25" t="s">
        <v>1252</v>
      </c>
      <c r="G7" s="25" t="s">
        <v>390</v>
      </c>
      <c r="H7" s="25" t="s">
        <v>1253</v>
      </c>
    </row>
    <row r="8" customFormat="false" ht="27.75" hidden="false" customHeight="true" outlineLevel="0" collapsed="false">
      <c r="A8" s="24" t="s">
        <v>1254</v>
      </c>
      <c r="B8" s="24" t="s">
        <v>1236</v>
      </c>
      <c r="C8" s="25" t="s">
        <v>1255</v>
      </c>
      <c r="D8" s="25" t="s">
        <v>1256</v>
      </c>
      <c r="E8" s="24" t="s">
        <v>1257</v>
      </c>
      <c r="F8" s="25" t="s">
        <v>1258</v>
      </c>
      <c r="G8" s="25" t="s">
        <v>1259</v>
      </c>
      <c r="H8" s="25" t="s">
        <v>1260</v>
      </c>
    </row>
    <row r="9" customFormat="false" ht="27.75" hidden="false" customHeight="true" outlineLevel="0" collapsed="false">
      <c r="A9" s="24" t="s">
        <v>1261</v>
      </c>
      <c r="B9" s="24" t="s">
        <v>1236</v>
      </c>
      <c r="C9" s="25" t="s">
        <v>1262</v>
      </c>
      <c r="D9" s="25" t="s">
        <v>1263</v>
      </c>
      <c r="E9" s="24" t="s">
        <v>1264</v>
      </c>
      <c r="F9" s="25" t="s">
        <v>95</v>
      </c>
      <c r="G9" s="25" t="s">
        <v>30</v>
      </c>
      <c r="H9" s="25"/>
    </row>
    <row r="10" customFormat="false" ht="27.75" hidden="false" customHeight="true" outlineLevel="0" collapsed="false">
      <c r="A10" s="24" t="s">
        <v>1261</v>
      </c>
      <c r="B10" s="24" t="s">
        <v>1236</v>
      </c>
      <c r="C10" s="25" t="s">
        <v>1265</v>
      </c>
      <c r="D10" s="25" t="s">
        <v>1266</v>
      </c>
      <c r="E10" s="24" t="s">
        <v>1238</v>
      </c>
      <c r="F10" s="25" t="s">
        <v>390</v>
      </c>
      <c r="G10" s="25" t="s">
        <v>390</v>
      </c>
      <c r="H10" s="25" t="s">
        <v>1267</v>
      </c>
    </row>
    <row r="11" customFormat="false" ht="27.75" hidden="false" customHeight="true" outlineLevel="0" collapsed="false">
      <c r="A11" s="24" t="s">
        <v>613</v>
      </c>
      <c r="B11" s="24" t="s">
        <v>1236</v>
      </c>
      <c r="C11" s="25" t="s">
        <v>131</v>
      </c>
      <c r="D11" s="25" t="s">
        <v>1268</v>
      </c>
      <c r="E11" s="24" t="s">
        <v>1269</v>
      </c>
      <c r="F11" s="25" t="s">
        <v>390</v>
      </c>
      <c r="G11" s="25" t="s">
        <v>390</v>
      </c>
      <c r="H11" s="25" t="s">
        <v>1270</v>
      </c>
    </row>
    <row r="12" customFormat="false" ht="27.75" hidden="false" customHeight="true" outlineLevel="0" collapsed="false">
      <c r="A12" s="24" t="s">
        <v>1271</v>
      </c>
      <c r="B12" s="24" t="s">
        <v>1236</v>
      </c>
      <c r="C12" s="25" t="s">
        <v>1272</v>
      </c>
      <c r="D12" s="25" t="s">
        <v>1273</v>
      </c>
      <c r="E12" s="24" t="s">
        <v>1274</v>
      </c>
      <c r="F12" s="25" t="s">
        <v>50</v>
      </c>
      <c r="G12" s="25" t="s">
        <v>18</v>
      </c>
      <c r="H12" s="25" t="s">
        <v>1275</v>
      </c>
    </row>
    <row r="13" customFormat="false" ht="27.75" hidden="false" customHeight="true" outlineLevel="0" collapsed="false">
      <c r="A13" s="24" t="s">
        <v>1271</v>
      </c>
      <c r="B13" s="24" t="s">
        <v>1236</v>
      </c>
      <c r="C13" s="25" t="s">
        <v>1276</v>
      </c>
      <c r="D13" s="25" t="s">
        <v>1277</v>
      </c>
      <c r="E13" s="24" t="s">
        <v>1278</v>
      </c>
      <c r="F13" s="25" t="s">
        <v>1279</v>
      </c>
      <c r="G13" s="25" t="s">
        <v>390</v>
      </c>
      <c r="H13" s="25" t="s">
        <v>1280</v>
      </c>
    </row>
    <row r="14" customFormat="false" ht="27.75" hidden="false" customHeight="true" outlineLevel="0" collapsed="false">
      <c r="A14" s="24" t="s">
        <v>1281</v>
      </c>
      <c r="B14" s="24" t="s">
        <v>1236</v>
      </c>
      <c r="C14" s="25" t="s">
        <v>138</v>
      </c>
      <c r="D14" s="25" t="s">
        <v>1282</v>
      </c>
      <c r="E14" s="24" t="s">
        <v>1283</v>
      </c>
      <c r="F14" s="25" t="s">
        <v>60</v>
      </c>
      <c r="G14" s="25" t="s">
        <v>390</v>
      </c>
      <c r="H14" s="25" t="s">
        <v>1284</v>
      </c>
    </row>
    <row r="15" customFormat="false" ht="27.75" hidden="false" customHeight="true" outlineLevel="0" collapsed="false">
      <c r="A15" s="24" t="s">
        <v>1285</v>
      </c>
      <c r="B15" s="24" t="s">
        <v>1236</v>
      </c>
      <c r="C15" s="25" t="s">
        <v>125</v>
      </c>
      <c r="D15" s="25" t="s">
        <v>1286</v>
      </c>
      <c r="E15" s="24" t="s">
        <v>1287</v>
      </c>
      <c r="F15" s="25" t="s">
        <v>60</v>
      </c>
      <c r="G15" s="25" t="s">
        <v>390</v>
      </c>
      <c r="H15" s="25" t="s">
        <v>1288</v>
      </c>
    </row>
    <row r="16" customFormat="false" ht="27.75" hidden="false" customHeight="true" outlineLevel="0" collapsed="false">
      <c r="A16" s="24" t="s">
        <v>1285</v>
      </c>
      <c r="B16" s="24" t="s">
        <v>1236</v>
      </c>
      <c r="C16" s="25" t="s">
        <v>150</v>
      </c>
      <c r="D16" s="25" t="s">
        <v>1289</v>
      </c>
      <c r="E16" s="24" t="s">
        <v>1290</v>
      </c>
      <c r="F16" s="25" t="s">
        <v>60</v>
      </c>
      <c r="G16" s="25" t="s">
        <v>1220</v>
      </c>
      <c r="H16" s="25" t="s">
        <v>1291</v>
      </c>
    </row>
    <row r="17" customFormat="false" ht="27.75" hidden="false" customHeight="true" outlineLevel="0" collapsed="false">
      <c r="A17" s="24" t="s">
        <v>1292</v>
      </c>
      <c r="B17" s="24" t="s">
        <v>1236</v>
      </c>
      <c r="C17" s="25" t="s">
        <v>1293</v>
      </c>
      <c r="D17" s="25" t="s">
        <v>1294</v>
      </c>
      <c r="E17" s="24" t="s">
        <v>1295</v>
      </c>
      <c r="F17" s="25" t="s">
        <v>1296</v>
      </c>
      <c r="G17" s="25" t="s">
        <v>1214</v>
      </c>
      <c r="H17" s="25" t="s">
        <v>1297</v>
      </c>
    </row>
    <row r="18" customFormat="false" ht="27.75" hidden="false" customHeight="true" outlineLevel="0" collapsed="false">
      <c r="A18" s="24" t="s">
        <v>1292</v>
      </c>
      <c r="B18" s="24" t="s">
        <v>1236</v>
      </c>
      <c r="C18" s="25" t="s">
        <v>168</v>
      </c>
      <c r="D18" s="25" t="s">
        <v>1298</v>
      </c>
      <c r="E18" s="24" t="s">
        <v>1299</v>
      </c>
      <c r="F18" s="25" t="s">
        <v>390</v>
      </c>
      <c r="G18" s="25" t="s">
        <v>390</v>
      </c>
      <c r="H18" s="25" t="s">
        <v>1300</v>
      </c>
    </row>
    <row r="19" customFormat="false" ht="27.75" hidden="false" customHeight="true" outlineLevel="0" collapsed="false">
      <c r="A19" s="24" t="s">
        <v>1301</v>
      </c>
      <c r="B19" s="24" t="s">
        <v>1236</v>
      </c>
      <c r="C19" s="25" t="s">
        <v>138</v>
      </c>
      <c r="D19" s="25" t="s">
        <v>1302</v>
      </c>
      <c r="E19" s="24" t="s">
        <v>1245</v>
      </c>
      <c r="F19" s="25" t="s">
        <v>390</v>
      </c>
      <c r="G19" s="25" t="s">
        <v>390</v>
      </c>
      <c r="H19" s="25"/>
    </row>
    <row r="20" customFormat="false" ht="27.75" hidden="false" customHeight="true" outlineLevel="0" collapsed="false">
      <c r="A20" s="24" t="s">
        <v>1303</v>
      </c>
      <c r="B20" s="24" t="s">
        <v>1236</v>
      </c>
      <c r="C20" s="25" t="s">
        <v>1304</v>
      </c>
      <c r="D20" s="25" t="s">
        <v>1305</v>
      </c>
      <c r="E20" s="24" t="s">
        <v>1238</v>
      </c>
      <c r="F20" s="25" t="s">
        <v>1246</v>
      </c>
      <c r="G20" s="25" t="s">
        <v>390</v>
      </c>
      <c r="H20" s="25" t="s">
        <v>1306</v>
      </c>
    </row>
    <row r="21" customFormat="false" ht="27.75" hidden="false" customHeight="true" outlineLevel="0" collapsed="false">
      <c r="A21" s="24" t="s">
        <v>1307</v>
      </c>
      <c r="B21" s="24" t="s">
        <v>1236</v>
      </c>
      <c r="C21" s="25" t="s">
        <v>138</v>
      </c>
      <c r="D21" s="25" t="s">
        <v>1308</v>
      </c>
      <c r="E21" s="24" t="s">
        <v>1309</v>
      </c>
      <c r="F21" s="25" t="s">
        <v>1310</v>
      </c>
      <c r="G21" s="25" t="s">
        <v>390</v>
      </c>
      <c r="H21" s="25" t="s">
        <v>1311</v>
      </c>
    </row>
    <row r="22" customFormat="false" ht="27.75" hidden="false" customHeight="true" outlineLevel="0" collapsed="false">
      <c r="A22" s="24" t="s">
        <v>1307</v>
      </c>
      <c r="B22" s="24" t="s">
        <v>1236</v>
      </c>
      <c r="C22" s="25" t="s">
        <v>125</v>
      </c>
      <c r="D22" s="25" t="s">
        <v>1312</v>
      </c>
      <c r="E22" s="24" t="s">
        <v>1313</v>
      </c>
      <c r="F22" s="25" t="s">
        <v>390</v>
      </c>
      <c r="G22" s="25" t="s">
        <v>390</v>
      </c>
      <c r="H22" s="25" t="s">
        <v>1314</v>
      </c>
    </row>
    <row r="23" customFormat="false" ht="27.75" hidden="false" customHeight="true" outlineLevel="0" collapsed="false">
      <c r="A23" s="24" t="s">
        <v>1307</v>
      </c>
      <c r="B23" s="24" t="s">
        <v>1236</v>
      </c>
      <c r="C23" s="25" t="s">
        <v>1272</v>
      </c>
      <c r="D23" s="25" t="s">
        <v>1315</v>
      </c>
      <c r="E23" s="24" t="s">
        <v>1316</v>
      </c>
      <c r="F23" s="25" t="s">
        <v>390</v>
      </c>
      <c r="G23" s="25" t="s">
        <v>390</v>
      </c>
      <c r="H23" s="25"/>
    </row>
    <row r="24" customFormat="false" ht="27.75" hidden="false" customHeight="true" outlineLevel="0" collapsed="false">
      <c r="A24" s="24" t="s">
        <v>1317</v>
      </c>
      <c r="B24" s="24" t="s">
        <v>1236</v>
      </c>
      <c r="C24" s="25" t="s">
        <v>1318</v>
      </c>
      <c r="D24" s="25" t="s">
        <v>1319</v>
      </c>
      <c r="E24" s="24" t="s">
        <v>1320</v>
      </c>
      <c r="F24" s="25" t="s">
        <v>1321</v>
      </c>
      <c r="G24" s="25" t="s">
        <v>390</v>
      </c>
      <c r="H24" s="25"/>
    </row>
    <row r="25" customFormat="false" ht="27.75" hidden="false" customHeight="true" outlineLevel="0" collapsed="false">
      <c r="A25" s="24" t="s">
        <v>1322</v>
      </c>
      <c r="B25" s="24" t="s">
        <v>1236</v>
      </c>
      <c r="C25" s="25" t="s">
        <v>1323</v>
      </c>
      <c r="D25" s="25" t="s">
        <v>1324</v>
      </c>
      <c r="E25" s="24" t="s">
        <v>1238</v>
      </c>
      <c r="F25" s="25" t="s">
        <v>390</v>
      </c>
      <c r="G25" s="25" t="s">
        <v>390</v>
      </c>
      <c r="H25" s="25"/>
    </row>
    <row r="26" customFormat="false" ht="27.75" hidden="false" customHeight="true" outlineLevel="0" collapsed="false">
      <c r="A26" s="24" t="s">
        <v>1325</v>
      </c>
      <c r="B26" s="24" t="s">
        <v>1236</v>
      </c>
      <c r="C26" s="25" t="s">
        <v>144</v>
      </c>
      <c r="D26" s="25" t="s">
        <v>1326</v>
      </c>
      <c r="E26" s="24" t="s">
        <v>1327</v>
      </c>
      <c r="F26" s="25" t="s">
        <v>390</v>
      </c>
      <c r="G26" s="25" t="s">
        <v>390</v>
      </c>
      <c r="H26" s="25" t="s">
        <v>1328</v>
      </c>
    </row>
    <row r="27" customFormat="false" ht="27.75" hidden="false" customHeight="true" outlineLevel="0" collapsed="false">
      <c r="A27" s="24" t="s">
        <v>1329</v>
      </c>
      <c r="B27" s="24" t="s">
        <v>1236</v>
      </c>
      <c r="C27" s="25" t="s">
        <v>138</v>
      </c>
      <c r="D27" s="25" t="s">
        <v>1330</v>
      </c>
      <c r="E27" s="24" t="s">
        <v>1238</v>
      </c>
      <c r="F27" s="25" t="s">
        <v>390</v>
      </c>
      <c r="G27" s="25" t="s">
        <v>390</v>
      </c>
      <c r="H27" s="25" t="s">
        <v>1331</v>
      </c>
    </row>
    <row r="28" customFormat="false" ht="27.75" hidden="false" customHeight="true" outlineLevel="0" collapsed="false">
      <c r="A28" s="24" t="s">
        <v>1329</v>
      </c>
      <c r="B28" s="24" t="s">
        <v>1236</v>
      </c>
      <c r="C28" s="25" t="s">
        <v>1323</v>
      </c>
      <c r="D28" s="25" t="s">
        <v>1332</v>
      </c>
      <c r="E28" s="24" t="s">
        <v>1333</v>
      </c>
      <c r="F28" s="25" t="s">
        <v>1334</v>
      </c>
      <c r="G28" s="25" t="s">
        <v>390</v>
      </c>
      <c r="H28" s="25" t="s">
        <v>1335</v>
      </c>
    </row>
    <row r="29" customFormat="false" ht="27.75" hidden="false" customHeight="true" outlineLevel="0" collapsed="false">
      <c r="A29" s="24" t="s">
        <v>1329</v>
      </c>
      <c r="B29" s="24" t="s">
        <v>1236</v>
      </c>
      <c r="C29" s="25" t="s">
        <v>1336</v>
      </c>
      <c r="D29" s="25" t="s">
        <v>1337</v>
      </c>
      <c r="E29" s="24" t="s">
        <v>1274</v>
      </c>
      <c r="F29" s="25" t="s">
        <v>1338</v>
      </c>
      <c r="G29" s="25" t="s">
        <v>1339</v>
      </c>
      <c r="H29" s="25" t="s">
        <v>1340</v>
      </c>
    </row>
    <row r="30" customFormat="false" ht="27.75" hidden="false" customHeight="true" outlineLevel="0" collapsed="false">
      <c r="A30" s="24" t="s">
        <v>1341</v>
      </c>
      <c r="B30" s="24" t="s">
        <v>1236</v>
      </c>
      <c r="C30" s="25" t="s">
        <v>1342</v>
      </c>
      <c r="D30" s="25" t="s">
        <v>1343</v>
      </c>
      <c r="E30" s="24" t="s">
        <v>1344</v>
      </c>
      <c r="F30" s="25" t="s">
        <v>1345</v>
      </c>
      <c r="G30" s="25" t="s">
        <v>1346</v>
      </c>
      <c r="H30" s="25" t="s">
        <v>1347</v>
      </c>
    </row>
    <row r="31" customFormat="false" ht="27.75" hidden="false" customHeight="true" outlineLevel="0" collapsed="false">
      <c r="A31" s="24" t="s">
        <v>1341</v>
      </c>
      <c r="B31" s="24" t="s">
        <v>1236</v>
      </c>
      <c r="C31" s="25" t="s">
        <v>1323</v>
      </c>
      <c r="D31" s="25" t="s">
        <v>1348</v>
      </c>
      <c r="E31" s="24" t="s">
        <v>1349</v>
      </c>
      <c r="F31" s="25" t="s">
        <v>1350</v>
      </c>
      <c r="G31" s="25" t="s">
        <v>18</v>
      </c>
      <c r="H31" s="25" t="s">
        <v>1351</v>
      </c>
    </row>
    <row r="32" customFormat="false" ht="27.75" hidden="false" customHeight="true" outlineLevel="0" collapsed="false">
      <c r="A32" s="24" t="s">
        <v>1341</v>
      </c>
      <c r="B32" s="24" t="s">
        <v>1236</v>
      </c>
      <c r="C32" s="25" t="s">
        <v>1352</v>
      </c>
      <c r="D32" s="25" t="s">
        <v>1353</v>
      </c>
      <c r="E32" s="24" t="s">
        <v>1238</v>
      </c>
      <c r="F32" s="25" t="s">
        <v>390</v>
      </c>
      <c r="G32" s="25" t="s">
        <v>390</v>
      </c>
      <c r="H32" s="25" t="s">
        <v>1354</v>
      </c>
    </row>
    <row r="33" customFormat="false" ht="27.75" hidden="false" customHeight="true" outlineLevel="0" collapsed="false">
      <c r="A33" s="24" t="s">
        <v>1355</v>
      </c>
      <c r="B33" s="24" t="s">
        <v>1236</v>
      </c>
      <c r="C33" s="25" t="s">
        <v>161</v>
      </c>
      <c r="D33" s="25" t="s">
        <v>1356</v>
      </c>
      <c r="E33" s="24" t="s">
        <v>1357</v>
      </c>
      <c r="F33" s="25" t="s">
        <v>50</v>
      </c>
      <c r="G33" s="25" t="s">
        <v>1358</v>
      </c>
      <c r="H33" s="25" t="s">
        <v>1359</v>
      </c>
    </row>
    <row r="34" customFormat="false" ht="27.75" hidden="false" customHeight="true" outlineLevel="0" collapsed="false">
      <c r="A34" s="24" t="s">
        <v>1355</v>
      </c>
      <c r="B34" s="24" t="s">
        <v>1236</v>
      </c>
      <c r="C34" s="25" t="s">
        <v>1360</v>
      </c>
      <c r="D34" s="25" t="s">
        <v>1361</v>
      </c>
      <c r="E34" s="24" t="s">
        <v>1362</v>
      </c>
      <c r="F34" s="25" t="s">
        <v>390</v>
      </c>
      <c r="G34" s="25" t="s">
        <v>390</v>
      </c>
      <c r="H34" s="25" t="s">
        <v>1363</v>
      </c>
    </row>
    <row r="35" customFormat="false" ht="27.75" hidden="false" customHeight="true" outlineLevel="0" collapsed="false">
      <c r="A35" s="24" t="s">
        <v>1364</v>
      </c>
      <c r="B35" s="24" t="s">
        <v>1236</v>
      </c>
      <c r="C35" s="25" t="s">
        <v>1365</v>
      </c>
      <c r="D35" s="25" t="s">
        <v>1366</v>
      </c>
      <c r="E35" s="24" t="s">
        <v>1367</v>
      </c>
      <c r="F35" s="25" t="s">
        <v>390</v>
      </c>
      <c r="G35" s="25" t="s">
        <v>390</v>
      </c>
      <c r="H35" s="25" t="s">
        <v>1368</v>
      </c>
    </row>
    <row r="36" customFormat="false" ht="27.75" hidden="false" customHeight="true" outlineLevel="0" collapsed="false">
      <c r="A36" s="24" t="s">
        <v>1364</v>
      </c>
      <c r="B36" s="24" t="s">
        <v>1236</v>
      </c>
      <c r="C36" s="25" t="s">
        <v>1323</v>
      </c>
      <c r="D36" s="25" t="s">
        <v>1369</v>
      </c>
      <c r="E36" s="24" t="s">
        <v>1238</v>
      </c>
      <c r="F36" s="25" t="s">
        <v>1370</v>
      </c>
      <c r="G36" s="25" t="s">
        <v>390</v>
      </c>
      <c r="H36" s="25"/>
    </row>
    <row r="37" customFormat="false" ht="27.75" hidden="false" customHeight="true" outlineLevel="0" collapsed="false">
      <c r="A37" s="24" t="s">
        <v>1371</v>
      </c>
      <c r="B37" s="24" t="s">
        <v>1236</v>
      </c>
      <c r="C37" s="25" t="s">
        <v>1372</v>
      </c>
      <c r="D37" s="25" t="s">
        <v>1373</v>
      </c>
      <c r="E37" s="24" t="s">
        <v>1238</v>
      </c>
      <c r="F37" s="25" t="s">
        <v>390</v>
      </c>
      <c r="G37" s="25" t="s">
        <v>390</v>
      </c>
      <c r="H37" s="25"/>
    </row>
    <row r="38" customFormat="false" ht="27.75" hidden="false" customHeight="true" outlineLevel="0" collapsed="false">
      <c r="A38" s="24" t="s">
        <v>1371</v>
      </c>
      <c r="B38" s="24" t="s">
        <v>1374</v>
      </c>
      <c r="C38" s="25" t="s">
        <v>1214</v>
      </c>
      <c r="D38" s="25" t="s">
        <v>1375</v>
      </c>
      <c r="E38" s="24" t="s">
        <v>1376</v>
      </c>
      <c r="F38" s="25" t="s">
        <v>1247</v>
      </c>
      <c r="G38" s="25" t="s">
        <v>1377</v>
      </c>
      <c r="H38" s="25" t="s">
        <v>1378</v>
      </c>
    </row>
    <row r="39" customFormat="false" ht="27.75" hidden="false" customHeight="true" outlineLevel="0" collapsed="false">
      <c r="A39" s="24" t="s">
        <v>1379</v>
      </c>
      <c r="B39" s="24" t="s">
        <v>1380</v>
      </c>
      <c r="C39" s="25" t="s">
        <v>1381</v>
      </c>
      <c r="D39" s="25" t="s">
        <v>1294</v>
      </c>
      <c r="E39" s="24" t="s">
        <v>37</v>
      </c>
      <c r="F39" s="25" t="s">
        <v>1382</v>
      </c>
      <c r="G39" s="25" t="s">
        <v>37</v>
      </c>
      <c r="H39" s="25" t="s">
        <v>1383</v>
      </c>
    </row>
    <row r="40" customFormat="false" ht="27.75" hidden="false" customHeight="true" outlineLevel="0" collapsed="false">
      <c r="A40" s="24" t="s">
        <v>1379</v>
      </c>
      <c r="B40" s="24" t="s">
        <v>1380</v>
      </c>
      <c r="C40" s="25" t="s">
        <v>1381</v>
      </c>
      <c r="D40" s="25" t="s">
        <v>1384</v>
      </c>
      <c r="E40" s="24" t="s">
        <v>37</v>
      </c>
      <c r="F40" s="25" t="s">
        <v>1385</v>
      </c>
      <c r="G40" s="25" t="s">
        <v>1386</v>
      </c>
      <c r="H40" s="25" t="s">
        <v>1387</v>
      </c>
    </row>
    <row r="41" customFormat="false" ht="27.75" hidden="false" customHeight="true" outlineLevel="0" collapsed="false">
      <c r="A41" s="24" t="s">
        <v>1261</v>
      </c>
      <c r="B41" s="24" t="s">
        <v>1380</v>
      </c>
      <c r="C41" s="25" t="s">
        <v>1388</v>
      </c>
      <c r="D41" s="25" t="s">
        <v>1389</v>
      </c>
      <c r="E41" s="24" t="s">
        <v>37</v>
      </c>
      <c r="F41" s="25" t="s">
        <v>1390</v>
      </c>
      <c r="G41" s="25" t="s">
        <v>1391</v>
      </c>
      <c r="H41" s="25" t="s">
        <v>1392</v>
      </c>
    </row>
    <row r="42" customFormat="false" ht="27.75" hidden="false" customHeight="true" outlineLevel="0" collapsed="false">
      <c r="A42" s="24" t="s">
        <v>613</v>
      </c>
      <c r="B42" s="24" t="s">
        <v>1380</v>
      </c>
      <c r="C42" s="25" t="s">
        <v>1393</v>
      </c>
      <c r="D42" s="25" t="s">
        <v>1394</v>
      </c>
      <c r="E42" s="24" t="s">
        <v>37</v>
      </c>
      <c r="F42" s="25" t="s">
        <v>1395</v>
      </c>
      <c r="G42" s="25" t="s">
        <v>1396</v>
      </c>
      <c r="H42" s="25" t="s">
        <v>1397</v>
      </c>
    </row>
    <row r="43" customFormat="false" ht="27.75" hidden="false" customHeight="true" outlineLevel="0" collapsed="false">
      <c r="A43" s="24" t="s">
        <v>1398</v>
      </c>
      <c r="B43" s="24" t="s">
        <v>1380</v>
      </c>
      <c r="C43" s="25" t="s">
        <v>1399</v>
      </c>
      <c r="D43" s="25" t="s">
        <v>1400</v>
      </c>
      <c r="E43" s="24" t="s">
        <v>37</v>
      </c>
      <c r="F43" s="25" t="s">
        <v>1390</v>
      </c>
      <c r="G43" s="25" t="s">
        <v>37</v>
      </c>
      <c r="H43" s="25" t="s">
        <v>1401</v>
      </c>
    </row>
    <row r="44" customFormat="false" ht="27.75" hidden="false" customHeight="true" outlineLevel="0" collapsed="false">
      <c r="A44" s="24" t="s">
        <v>1398</v>
      </c>
      <c r="B44" s="24" t="s">
        <v>1380</v>
      </c>
      <c r="C44" s="25" t="s">
        <v>1399</v>
      </c>
      <c r="D44" s="25" t="s">
        <v>1402</v>
      </c>
      <c r="E44" s="24" t="s">
        <v>37</v>
      </c>
      <c r="F44" s="25" t="s">
        <v>1390</v>
      </c>
      <c r="G44" s="25" t="s">
        <v>37</v>
      </c>
      <c r="H44" s="25" t="s">
        <v>1403</v>
      </c>
    </row>
    <row r="45" customFormat="false" ht="27.75" hidden="false" customHeight="true" outlineLevel="0" collapsed="false">
      <c r="A45" s="24" t="s">
        <v>1281</v>
      </c>
      <c r="B45" s="24" t="s">
        <v>1404</v>
      </c>
      <c r="C45" s="25" t="s">
        <v>1405</v>
      </c>
      <c r="D45" s="25" t="s">
        <v>1406</v>
      </c>
      <c r="E45" s="24" t="s">
        <v>37</v>
      </c>
      <c r="F45" s="25" t="s">
        <v>1407</v>
      </c>
      <c r="G45" s="25" t="s">
        <v>37</v>
      </c>
      <c r="H45" s="25" t="s">
        <v>1408</v>
      </c>
    </row>
    <row r="46" customFormat="false" ht="27.75" hidden="false" customHeight="true" outlineLevel="0" collapsed="false">
      <c r="A46" s="24" t="s">
        <v>1409</v>
      </c>
      <c r="B46" s="24" t="s">
        <v>1404</v>
      </c>
      <c r="C46" s="25" t="s">
        <v>1410</v>
      </c>
      <c r="D46" s="25" t="s">
        <v>1411</v>
      </c>
      <c r="E46" s="24" t="s">
        <v>1412</v>
      </c>
      <c r="F46" s="25" t="s">
        <v>1413</v>
      </c>
      <c r="G46" s="25" t="s">
        <v>37</v>
      </c>
      <c r="H46" s="25" t="s">
        <v>1414</v>
      </c>
    </row>
    <row r="47" customFormat="false" ht="27.75" hidden="false" customHeight="true" outlineLevel="0" collapsed="false">
      <c r="A47" s="24" t="s">
        <v>1415</v>
      </c>
      <c r="B47" s="24" t="s">
        <v>1404</v>
      </c>
      <c r="C47" s="25" t="s">
        <v>1416</v>
      </c>
      <c r="D47" s="25" t="s">
        <v>1417</v>
      </c>
      <c r="E47" s="24" t="s">
        <v>1418</v>
      </c>
      <c r="F47" s="25" t="s">
        <v>1419</v>
      </c>
      <c r="G47" s="25" t="s">
        <v>37</v>
      </c>
      <c r="H47" s="25" t="s">
        <v>1420</v>
      </c>
    </row>
    <row r="48" customFormat="false" ht="27.75" hidden="false" customHeight="true" outlineLevel="0" collapsed="false">
      <c r="A48" s="24" t="s">
        <v>1303</v>
      </c>
      <c r="B48" s="24" t="s">
        <v>1404</v>
      </c>
      <c r="C48" s="25" t="s">
        <v>1421</v>
      </c>
      <c r="D48" s="25" t="s">
        <v>1422</v>
      </c>
      <c r="E48" s="24" t="s">
        <v>1423</v>
      </c>
      <c r="F48" s="25" t="s">
        <v>1424</v>
      </c>
      <c r="G48" s="25" t="s">
        <v>54</v>
      </c>
      <c r="H48" s="25" t="s">
        <v>1425</v>
      </c>
    </row>
    <row r="49" customFormat="false" ht="27.75" hidden="false" customHeight="true" outlineLevel="0" collapsed="false">
      <c r="A49" s="24" t="s">
        <v>1307</v>
      </c>
      <c r="B49" s="24" t="s">
        <v>1404</v>
      </c>
      <c r="C49" s="25" t="s">
        <v>1426</v>
      </c>
      <c r="D49" s="25" t="s">
        <v>1427</v>
      </c>
      <c r="E49" s="24" t="s">
        <v>1428</v>
      </c>
      <c r="F49" s="25" t="s">
        <v>1429</v>
      </c>
      <c r="G49" s="25" t="s">
        <v>1430</v>
      </c>
      <c r="H49" s="25" t="s">
        <v>1431</v>
      </c>
    </row>
    <row r="51" customFormat="false" ht="30" hidden="false" customHeight="true" outlineLevel="0" collapsed="false">
      <c r="A51" s="35" t="s">
        <v>1432</v>
      </c>
      <c r="B51" s="35"/>
      <c r="C51" s="35"/>
      <c r="D51" s="35"/>
      <c r="E51" s="35"/>
      <c r="F51" s="35"/>
      <c r="G51" s="35"/>
      <c r="H51" s="35"/>
    </row>
  </sheetData>
  <autoFilter ref="A3:H49"/>
  <mergeCells count="2">
    <mergeCell ref="A1:H1"/>
    <mergeCell ref="A51:H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
    <col collapsed="false" customWidth="true" hidden="false" outlineLevel="0" max="3" min="3" style="0" width="24"/>
    <col collapsed="false" customWidth="true" hidden="false" outlineLevel="0" max="4" min="4" style="0" width="20"/>
    <col collapsed="false" customWidth="true" hidden="false" outlineLevel="0" max="5" min="5" style="0" width="52"/>
    <col collapsed="false" customWidth="true" hidden="false" outlineLevel="0" max="6" min="6" style="0" width="10"/>
    <col collapsed="false" customWidth="true" hidden="false" outlineLevel="0" max="7" min="7" style="0" width="12"/>
    <col collapsed="false" customWidth="true" hidden="false" outlineLevel="0" max="8" min="8" style="0" width="28"/>
  </cols>
  <sheetData>
    <row r="1" customFormat="false" ht="24" hidden="false" customHeight="true" outlineLevel="0" collapsed="false">
      <c r="A1" s="1" t="s">
        <v>1433</v>
      </c>
    </row>
    <row r="2" customFormat="false" ht="15.75" hidden="false" customHeight="true" outlineLevel="0" collapsed="false">
      <c r="A2" s="2" t="s">
        <v>1434</v>
      </c>
    </row>
    <row r="3" customFormat="false" ht="13.5" hidden="false" customHeight="true" outlineLevel="0" collapsed="false">
      <c r="A3" s="3" t="s">
        <v>1435</v>
      </c>
    </row>
    <row r="4" customFormat="false" ht="6" hidden="false" customHeight="true" outlineLevel="0" collapsed="false"/>
    <row r="5" customFormat="false" ht="27.75" hidden="false" customHeight="true" outlineLevel="0" collapsed="false">
      <c r="A5" s="6" t="s">
        <v>1436</v>
      </c>
      <c r="B5" s="6" t="s">
        <v>334</v>
      </c>
      <c r="C5" s="6" t="s">
        <v>1437</v>
      </c>
      <c r="D5" s="6" t="s">
        <v>1438</v>
      </c>
      <c r="E5" s="6" t="s">
        <v>1439</v>
      </c>
      <c r="F5" s="6" t="s">
        <v>14</v>
      </c>
      <c r="G5" s="6" t="s">
        <v>1440</v>
      </c>
      <c r="H5" s="6" t="s">
        <v>256</v>
      </c>
    </row>
    <row r="6" customFormat="false" ht="23.85" hidden="false" customHeight="false" outlineLevel="0" collapsed="false">
      <c r="A6" s="7" t="s">
        <v>1441</v>
      </c>
      <c r="B6" s="8" t="s">
        <v>1442</v>
      </c>
      <c r="C6" s="8" t="s">
        <v>1443</v>
      </c>
      <c r="D6" s="8" t="s">
        <v>1444</v>
      </c>
      <c r="E6" s="8" t="s">
        <v>1445</v>
      </c>
      <c r="F6" s="8" t="s">
        <v>1446</v>
      </c>
      <c r="G6" s="48"/>
      <c r="H6" s="48"/>
    </row>
    <row r="7" customFormat="false" ht="23.85" hidden="false" customHeight="false" outlineLevel="0" collapsed="false">
      <c r="A7" s="7" t="s">
        <v>1447</v>
      </c>
      <c r="B7" s="8" t="s">
        <v>1442</v>
      </c>
      <c r="C7" s="8" t="s">
        <v>1448</v>
      </c>
      <c r="D7" s="8" t="s">
        <v>1449</v>
      </c>
      <c r="E7" s="8" t="s">
        <v>1450</v>
      </c>
      <c r="F7" s="8" t="s">
        <v>1446</v>
      </c>
      <c r="G7" s="48"/>
      <c r="H7" s="48"/>
    </row>
    <row r="8" customFormat="false" ht="23.85" hidden="false" customHeight="false" outlineLevel="0" collapsed="false">
      <c r="A8" s="7" t="s">
        <v>1451</v>
      </c>
      <c r="B8" s="8" t="s">
        <v>1442</v>
      </c>
      <c r="C8" s="8" t="s">
        <v>1452</v>
      </c>
      <c r="D8" s="8" t="s">
        <v>1453</v>
      </c>
      <c r="E8" s="8" t="s">
        <v>1454</v>
      </c>
      <c r="F8" s="8" t="s">
        <v>1446</v>
      </c>
      <c r="G8" s="48"/>
      <c r="H8" s="48"/>
    </row>
    <row r="9" customFormat="false" ht="15" hidden="false" customHeight="false" outlineLevel="0" collapsed="false">
      <c r="A9" s="7" t="s">
        <v>1455</v>
      </c>
      <c r="B9" s="8" t="s">
        <v>1442</v>
      </c>
      <c r="C9" s="8" t="s">
        <v>1456</v>
      </c>
      <c r="D9" s="8" t="s">
        <v>1457</v>
      </c>
      <c r="E9" s="8" t="s">
        <v>1458</v>
      </c>
      <c r="F9" s="8" t="s">
        <v>1446</v>
      </c>
      <c r="G9" s="48"/>
      <c r="H9" s="48"/>
    </row>
    <row r="10" customFormat="false" ht="23.85" hidden="false" customHeight="false" outlineLevel="0" collapsed="false">
      <c r="A10" s="7" t="s">
        <v>1459</v>
      </c>
      <c r="B10" s="8" t="s">
        <v>1460</v>
      </c>
      <c r="C10" s="8" t="s">
        <v>79</v>
      </c>
      <c r="D10" s="8" t="s">
        <v>1461</v>
      </c>
      <c r="E10" s="8" t="s">
        <v>1462</v>
      </c>
      <c r="F10" s="8" t="s">
        <v>1446</v>
      </c>
      <c r="G10" s="48"/>
      <c r="H10" s="48"/>
    </row>
    <row r="11" customFormat="false" ht="23.85" hidden="false" customHeight="false" outlineLevel="0" collapsed="false">
      <c r="A11" s="7" t="s">
        <v>1463</v>
      </c>
      <c r="B11" s="8" t="s">
        <v>1460</v>
      </c>
      <c r="C11" s="8" t="s">
        <v>181</v>
      </c>
      <c r="D11" s="8" t="s">
        <v>1464</v>
      </c>
      <c r="E11" s="8" t="s">
        <v>1465</v>
      </c>
      <c r="F11" s="8" t="s">
        <v>1446</v>
      </c>
      <c r="G11" s="48"/>
      <c r="H11" s="48"/>
    </row>
    <row r="12" customFormat="false" ht="23.85" hidden="false" customHeight="false" outlineLevel="0" collapsed="false">
      <c r="A12" s="7" t="s">
        <v>1466</v>
      </c>
      <c r="B12" s="8" t="s">
        <v>896</v>
      </c>
      <c r="C12" s="8" t="s">
        <v>1467</v>
      </c>
      <c r="D12" s="8" t="s">
        <v>1464</v>
      </c>
      <c r="E12" s="8" t="s">
        <v>1468</v>
      </c>
      <c r="F12" s="8" t="s">
        <v>1446</v>
      </c>
      <c r="G12" s="48"/>
      <c r="H12" s="48"/>
    </row>
    <row r="13" customFormat="false" ht="15" hidden="false" customHeight="false" outlineLevel="0" collapsed="false">
      <c r="A13" s="7" t="s">
        <v>1469</v>
      </c>
      <c r="B13" s="8" t="s">
        <v>896</v>
      </c>
      <c r="C13" s="8" t="s">
        <v>190</v>
      </c>
      <c r="D13" s="8" t="s">
        <v>1470</v>
      </c>
      <c r="E13" s="8" t="s">
        <v>1471</v>
      </c>
      <c r="F13" s="8" t="s">
        <v>1472</v>
      </c>
      <c r="G13" s="48"/>
      <c r="H13" s="48"/>
    </row>
    <row r="14" customFormat="false" ht="15" hidden="false" customHeight="false" outlineLevel="0" collapsed="false">
      <c r="A14" s="7" t="s">
        <v>1473</v>
      </c>
      <c r="B14" s="8" t="s">
        <v>1474</v>
      </c>
      <c r="C14" s="8" t="s">
        <v>222</v>
      </c>
      <c r="D14" s="8" t="s">
        <v>1464</v>
      </c>
      <c r="E14" s="8" t="s">
        <v>1475</v>
      </c>
      <c r="F14" s="8" t="s">
        <v>1472</v>
      </c>
      <c r="G14" s="48"/>
      <c r="H14" s="48"/>
    </row>
    <row r="15" customFormat="false" ht="23.85" hidden="false" customHeight="false" outlineLevel="0" collapsed="false">
      <c r="A15" s="7" t="s">
        <v>1476</v>
      </c>
      <c r="B15" s="8" t="s">
        <v>896</v>
      </c>
      <c r="C15" s="8" t="s">
        <v>514</v>
      </c>
      <c r="D15" s="8" t="s">
        <v>1477</v>
      </c>
      <c r="E15" s="8" t="s">
        <v>1478</v>
      </c>
      <c r="F15" s="8" t="s">
        <v>1472</v>
      </c>
      <c r="G15" s="48"/>
      <c r="H15" s="48"/>
    </row>
    <row r="16" customFormat="false" ht="15" hidden="false" customHeight="false" outlineLevel="0" collapsed="false">
      <c r="A16" s="7" t="s">
        <v>1479</v>
      </c>
      <c r="B16" s="8" t="s">
        <v>896</v>
      </c>
      <c r="C16" s="8" t="s">
        <v>433</v>
      </c>
      <c r="D16" s="8" t="s">
        <v>1480</v>
      </c>
      <c r="E16" s="8" t="s">
        <v>1481</v>
      </c>
      <c r="F16" s="8" t="s">
        <v>1482</v>
      </c>
      <c r="G16" s="48"/>
      <c r="H16" s="48"/>
    </row>
    <row r="17" customFormat="false" ht="15" hidden="false" customHeight="false" outlineLevel="0" collapsed="false">
      <c r="A17" s="7" t="s">
        <v>1483</v>
      </c>
      <c r="B17" s="8" t="s">
        <v>1474</v>
      </c>
      <c r="C17" s="8" t="s">
        <v>200</v>
      </c>
      <c r="D17" s="8" t="s">
        <v>1464</v>
      </c>
      <c r="E17" s="8" t="s">
        <v>1484</v>
      </c>
      <c r="F17" s="8" t="s">
        <v>1472</v>
      </c>
      <c r="G17" s="48"/>
      <c r="H17" s="48"/>
    </row>
    <row r="18" customFormat="false" ht="15" hidden="false" customHeight="false" outlineLevel="0" collapsed="false">
      <c r="A18" s="7" t="s">
        <v>1485</v>
      </c>
      <c r="B18" s="8" t="s">
        <v>896</v>
      </c>
      <c r="C18" s="8" t="s">
        <v>738</v>
      </c>
      <c r="D18" s="8" t="s">
        <v>1464</v>
      </c>
      <c r="E18" s="8" t="s">
        <v>1486</v>
      </c>
      <c r="F18" s="8" t="s">
        <v>1482</v>
      </c>
      <c r="G18" s="48"/>
      <c r="H18" s="48"/>
    </row>
    <row r="19" customFormat="false" ht="15" hidden="false" customHeight="false" outlineLevel="0" collapsed="false">
      <c r="A19" s="7" t="s">
        <v>1487</v>
      </c>
      <c r="B19" s="8" t="s">
        <v>1488</v>
      </c>
      <c r="C19" s="8" t="s">
        <v>1489</v>
      </c>
      <c r="D19" s="8" t="s">
        <v>1464</v>
      </c>
      <c r="E19" s="8" t="s">
        <v>1490</v>
      </c>
      <c r="F19" s="8" t="s">
        <v>1472</v>
      </c>
      <c r="G19" s="48"/>
      <c r="H19" s="48"/>
    </row>
    <row r="20" customFormat="false" ht="15" hidden="false" customHeight="false" outlineLevel="0" collapsed="false">
      <c r="A20" s="7" t="s">
        <v>1491</v>
      </c>
      <c r="B20" s="8" t="s">
        <v>1488</v>
      </c>
      <c r="C20" s="8" t="s">
        <v>1492</v>
      </c>
      <c r="D20" s="8" t="s">
        <v>1464</v>
      </c>
      <c r="E20" s="8" t="s">
        <v>1493</v>
      </c>
      <c r="F20" s="8" t="s">
        <v>1472</v>
      </c>
      <c r="G20" s="48"/>
      <c r="H20" s="48"/>
    </row>
    <row r="21" customFormat="false" ht="15" hidden="false" customHeight="false" outlineLevel="0" collapsed="false">
      <c r="A21" s="7" t="s">
        <v>1494</v>
      </c>
      <c r="B21" s="8" t="s">
        <v>1488</v>
      </c>
      <c r="C21" s="8" t="s">
        <v>181</v>
      </c>
      <c r="D21" s="8" t="s">
        <v>1464</v>
      </c>
      <c r="E21" s="8" t="s">
        <v>1495</v>
      </c>
      <c r="F21" s="8" t="s">
        <v>1472</v>
      </c>
      <c r="G21" s="48"/>
      <c r="H21" s="48"/>
    </row>
    <row r="22" customFormat="false" ht="15" hidden="false" customHeight="false" outlineLevel="0" collapsed="false">
      <c r="A22" s="7" t="s">
        <v>904</v>
      </c>
      <c r="B22" s="8" t="s">
        <v>1488</v>
      </c>
      <c r="C22" s="8" t="s">
        <v>1496</v>
      </c>
      <c r="D22" s="8" t="s">
        <v>1464</v>
      </c>
      <c r="E22" s="8" t="s">
        <v>1497</v>
      </c>
      <c r="F22" s="8" t="s">
        <v>1446</v>
      </c>
      <c r="G22" s="48"/>
      <c r="H22" s="48"/>
    </row>
    <row r="23" customFormat="false" ht="15" hidden="false" customHeight="false" outlineLevel="0" collapsed="false">
      <c r="A23" s="7" t="s">
        <v>1498</v>
      </c>
      <c r="B23" s="8" t="s">
        <v>1488</v>
      </c>
      <c r="C23" s="8" t="s">
        <v>1499</v>
      </c>
      <c r="D23" s="8" t="s">
        <v>1500</v>
      </c>
      <c r="E23" s="8" t="s">
        <v>1501</v>
      </c>
      <c r="F23" s="8" t="s">
        <v>1482</v>
      </c>
      <c r="G23" s="48"/>
      <c r="H23" s="48"/>
    </row>
    <row r="24" customFormat="false" ht="15" hidden="false" customHeight="false" outlineLevel="0" collapsed="false">
      <c r="A24" s="7" t="s">
        <v>1502</v>
      </c>
      <c r="B24" s="8" t="s">
        <v>896</v>
      </c>
      <c r="C24" s="8" t="s">
        <v>195</v>
      </c>
      <c r="D24" s="8" t="s">
        <v>1464</v>
      </c>
      <c r="E24" s="8" t="s">
        <v>1503</v>
      </c>
      <c r="F24" s="8" t="s">
        <v>1472</v>
      </c>
      <c r="G24" s="48"/>
      <c r="H24" s="48"/>
    </row>
    <row r="25" customFormat="false" ht="15" hidden="false" customHeight="false" outlineLevel="0" collapsed="false">
      <c r="A25" s="7" t="s">
        <v>1504</v>
      </c>
      <c r="B25" s="8" t="s">
        <v>1488</v>
      </c>
      <c r="C25" s="8" t="s">
        <v>212</v>
      </c>
      <c r="D25" s="8" t="s">
        <v>1500</v>
      </c>
      <c r="E25" s="8" t="s">
        <v>1505</v>
      </c>
      <c r="F25" s="8" t="s">
        <v>1482</v>
      </c>
      <c r="G25" s="48"/>
      <c r="H25" s="48"/>
    </row>
    <row r="26" customFormat="false" ht="23.85" hidden="false" customHeight="false" outlineLevel="0" collapsed="false">
      <c r="A26" s="7" t="s">
        <v>1506</v>
      </c>
      <c r="B26" s="8" t="s">
        <v>1507</v>
      </c>
      <c r="C26" s="8" t="s">
        <v>1508</v>
      </c>
      <c r="D26" s="8" t="s">
        <v>1509</v>
      </c>
      <c r="E26" s="8" t="s">
        <v>1510</v>
      </c>
      <c r="F26" s="8" t="s">
        <v>1446</v>
      </c>
      <c r="G26" s="48"/>
      <c r="H26" s="48"/>
    </row>
    <row r="27" customFormat="false" ht="23.85" hidden="false" customHeight="false" outlineLevel="0" collapsed="false">
      <c r="A27" s="7" t="s">
        <v>1511</v>
      </c>
      <c r="B27" s="8" t="s">
        <v>1507</v>
      </c>
      <c r="C27" s="8" t="s">
        <v>1512</v>
      </c>
      <c r="D27" s="8" t="s">
        <v>1513</v>
      </c>
      <c r="E27" s="8" t="s">
        <v>1514</v>
      </c>
      <c r="F27" s="8" t="s">
        <v>1482</v>
      </c>
      <c r="G27" s="48"/>
      <c r="H27" s="48"/>
    </row>
    <row r="28" customFormat="false" ht="15" hidden="false" customHeight="false" outlineLevel="0" collapsed="false">
      <c r="A28" s="7" t="s">
        <v>1515</v>
      </c>
      <c r="B28" s="8" t="s">
        <v>1507</v>
      </c>
      <c r="C28" s="8" t="s">
        <v>1516</v>
      </c>
      <c r="D28" s="8" t="s">
        <v>1513</v>
      </c>
      <c r="E28" s="8" t="s">
        <v>1517</v>
      </c>
      <c r="F28" s="8" t="s">
        <v>1482</v>
      </c>
      <c r="G28" s="48"/>
      <c r="H28" s="48"/>
    </row>
    <row r="29" customFormat="false" ht="15" hidden="false" customHeight="false" outlineLevel="0" collapsed="false">
      <c r="A29" s="7" t="s">
        <v>1518</v>
      </c>
      <c r="B29" s="8" t="s">
        <v>1519</v>
      </c>
      <c r="C29" s="8" t="s">
        <v>186</v>
      </c>
      <c r="D29" s="8" t="s">
        <v>1464</v>
      </c>
      <c r="E29" s="8" t="s">
        <v>1520</v>
      </c>
      <c r="F29" s="8" t="s">
        <v>1472</v>
      </c>
      <c r="G29" s="48"/>
      <c r="H29" s="48"/>
    </row>
    <row r="30" customFormat="false" ht="15" hidden="false" customHeight="false" outlineLevel="0" collapsed="false">
      <c r="A30" s="7" t="s">
        <v>1521</v>
      </c>
      <c r="B30" s="8" t="s">
        <v>1519</v>
      </c>
      <c r="C30" s="8" t="s">
        <v>1522</v>
      </c>
      <c r="D30" s="8" t="s">
        <v>1464</v>
      </c>
      <c r="E30" s="8" t="s">
        <v>1523</v>
      </c>
      <c r="F30" s="8" t="s">
        <v>1482</v>
      </c>
      <c r="G30" s="48"/>
      <c r="H30" s="48"/>
    </row>
    <row r="32" customFormat="false" ht="39.75" hidden="false" customHeight="true" outlineLevel="0" collapsed="false">
      <c r="A32" s="10" t="s">
        <v>1524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ADB"/>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1" width="24"/>
    <col collapsed="false" customWidth="true" hidden="false" outlineLevel="0" max="2" min="2" style="11" width="46"/>
    <col collapsed="false" customWidth="true" hidden="false" outlineLevel="0" max="3" min="3" style="11" width="62"/>
  </cols>
  <sheetData>
    <row r="1" customFormat="false" ht="24" hidden="false" customHeight="true" outlineLevel="0" collapsed="false">
      <c r="A1" s="12" t="s">
        <v>1525</v>
      </c>
      <c r="B1" s="12"/>
      <c r="C1" s="12"/>
    </row>
    <row r="3" customFormat="false" ht="19.5" hidden="false" customHeight="true" outlineLevel="0" collapsed="false">
      <c r="A3" s="50" t="s">
        <v>1526</v>
      </c>
      <c r="B3" s="50" t="s">
        <v>1527</v>
      </c>
      <c r="C3" s="50" t="s">
        <v>1528</v>
      </c>
    </row>
    <row r="4" customFormat="false" ht="30" hidden="false" customHeight="true" outlineLevel="0" collapsed="false">
      <c r="A4" s="23" t="s">
        <v>1529</v>
      </c>
      <c r="B4" s="25" t="s">
        <v>1530</v>
      </c>
      <c r="C4" s="25" t="s">
        <v>1531</v>
      </c>
    </row>
    <row r="5" customFormat="false" ht="30" hidden="false" customHeight="true" outlineLevel="0" collapsed="false">
      <c r="A5" s="23" t="s">
        <v>1532</v>
      </c>
      <c r="B5" s="25" t="s">
        <v>1533</v>
      </c>
      <c r="C5" s="25" t="s">
        <v>1534</v>
      </c>
    </row>
    <row r="6" customFormat="false" ht="30" hidden="false" customHeight="true" outlineLevel="0" collapsed="false">
      <c r="A6" s="23" t="s">
        <v>1535</v>
      </c>
      <c r="B6" s="25" t="s">
        <v>1536</v>
      </c>
      <c r="C6" s="25" t="s">
        <v>1537</v>
      </c>
    </row>
    <row r="7" customFormat="false" ht="30" hidden="false" customHeight="true" outlineLevel="0" collapsed="false">
      <c r="A7" s="23" t="s">
        <v>1538</v>
      </c>
      <c r="B7" s="25" t="s">
        <v>1539</v>
      </c>
      <c r="C7" s="25" t="s">
        <v>1540</v>
      </c>
    </row>
    <row r="8" customFormat="false" ht="30" hidden="false" customHeight="true" outlineLevel="0" collapsed="false">
      <c r="A8" s="23" t="s">
        <v>1541</v>
      </c>
      <c r="B8" s="25" t="s">
        <v>1542</v>
      </c>
      <c r="C8" s="25" t="s">
        <v>1543</v>
      </c>
    </row>
    <row r="9" customFormat="false" ht="30" hidden="false" customHeight="true" outlineLevel="0" collapsed="false">
      <c r="A9" s="23" t="s">
        <v>1544</v>
      </c>
      <c r="B9" s="25" t="s">
        <v>1545</v>
      </c>
      <c r="C9" s="25" t="s">
        <v>1546</v>
      </c>
    </row>
    <row r="10" customFormat="false" ht="30" hidden="false" customHeight="true" outlineLevel="0" collapsed="false">
      <c r="A10" s="23" t="s">
        <v>1547</v>
      </c>
      <c r="B10" s="25" t="s">
        <v>1548</v>
      </c>
      <c r="C10" s="25" t="s">
        <v>1549</v>
      </c>
    </row>
    <row r="11" customFormat="false" ht="30" hidden="false" customHeight="true" outlineLevel="0" collapsed="false">
      <c r="A11" s="23" t="s">
        <v>1550</v>
      </c>
      <c r="B11" s="25" t="s">
        <v>1551</v>
      </c>
      <c r="C11" s="25" t="s">
        <v>1552</v>
      </c>
    </row>
    <row r="12" customFormat="false" ht="30" hidden="false" customHeight="true" outlineLevel="0" collapsed="false">
      <c r="A12" s="23" t="s">
        <v>1553</v>
      </c>
      <c r="B12" s="25" t="s">
        <v>1554</v>
      </c>
      <c r="C12" s="25" t="s">
        <v>1555</v>
      </c>
    </row>
    <row r="13" customFormat="false" ht="30" hidden="false" customHeight="true" outlineLevel="0" collapsed="false">
      <c r="A13" s="23" t="s">
        <v>1556</v>
      </c>
      <c r="B13" s="25" t="s">
        <v>1557</v>
      </c>
      <c r="C13" s="25" t="s">
        <v>1558</v>
      </c>
    </row>
    <row r="15" customFormat="false" ht="15" hidden="false" customHeight="true" outlineLevel="0" collapsed="false">
      <c r="A15" s="14" t="s">
        <v>1559</v>
      </c>
      <c r="B15" s="14"/>
      <c r="C15" s="14"/>
    </row>
  </sheetData>
  <mergeCells count="2">
    <mergeCell ref="A1:C1"/>
    <mergeCell ref="A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2026-08-21T17:53:24Z</dcterms:created>
  <dc:creator>openpyxl</dc:creator>
  <dc:description/>
  <dc:language>en-US</dc:language>
  <cp:lastModifiedBy/>
  <dcterms:modified xsi:type="dcterms:W3CDTF">2026-08-22T16:41:48Z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