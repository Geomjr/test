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Targets" sheetId="1" state="visible" r:id="rId3"/>
    <sheet name="IB Targets" sheetId="2" state="visible" r:id="rId4"/>
    <sheet name="Corp Dev Targets" sheetId="3" state="visible" r:id="rId5"/>
    <sheet name="Corp Dev Universe" sheetId="4" state="visible" r:id="rId6"/>
    <sheet name="VC Targets" sheetId="5" state="visible" r:id="rId7"/>
    <sheet name="VC Fund Database" sheetId="6" state="visible" r:id="rId8"/>
    <sheet name="VC Universe" sheetId="7" state="visible" r:id="rId9"/>
    <sheet name="People Directory" sheetId="8" state="visible" r:id="rId10"/>
    <sheet name="Target Profiles" sheetId="9" state="visible" r:id="rId11"/>
    <sheet name="Personal Angles" sheetId="10" state="visible" r:id="rId12"/>
    <sheet name="League Table" sheetId="11" state="visible" r:id="rId13"/>
    <sheet name="Deal Evidence" sheetId="12" state="visible" r:id="rId14"/>
    <sheet name="Engagement Feed" sheetId="13" state="visible" r:id="rId15"/>
    <sheet name="Timeline" sheetId="14" state="visible" r:id="rId16"/>
  </sheets>
  <definedNames>
    <definedName function="false" hidden="true" localSheetId="2" name="_xlnm._FilterDatabase" vbProcedure="false">'Corp Dev Targets'!$A$5:$M$14</definedName>
    <definedName function="false" hidden="true" localSheetId="11" name="_xlnm._FilterDatabase" vbProcedure="false">'Deal Evidence'!$A$3:$H$49</definedName>
    <definedName function="false" hidden="true" localSheetId="1" name="_xlnm._FilterDatabase" vbProcedure="false">'IB Targets'!$A$5:$M$29</definedName>
    <definedName function="false" hidden="true" localSheetId="8" name="_xlnm._FilterDatabase" vbProcedure="false">'Target Profiles'!$A$3:$H$34</definedName>
    <definedName function="false" hidden="true" localSheetId="5" name="_xlnm._FilterDatabase" vbProcedure="false">'VC Fund Database'!$A$4:$O$46</definedName>
    <definedName function="false" hidden="true" localSheetId="4" name="_xlnm._FilterDatabase" vbProcedure="false">'VC Targets'!$A$5:$M$20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<sst xmlns="http://schemas.openxmlformats.org/spreadsheetml/2006/main" count="6774" uniqueCount="3421">
  <si>
    <t xml:space="preserve">Master Target Database</t>
  </si>
  <si>
    <t xml:space="preserve">All 74 targets across the IB, Corp Dev, and VC lanes in one view  |  CBS Class of 2028  |  Compiled and expanded Aug 22, 2026</t>
  </si>
  <si>
    <t xml:space="preserve">Priority / Status / Next Step mirror the lane tabs live: edit them THERE (yellow columns), not here. Sort or filter this sheet freely; formulas follow.</t>
  </si>
  <si>
    <t xml:space="preserve">Targets:</t>
  </si>
  <si>
    <t xml:space="preserve">High priority:</t>
  </si>
  <si>
    <t xml:space="preserve">In motion:</t>
  </si>
  <si>
    <t xml:space="preserve">Target</t>
  </si>
  <si>
    <t xml:space="preserve">Lane</t>
  </si>
  <si>
    <t xml:space="preserve">Tier / Category</t>
  </si>
  <si>
    <t xml:space="preserve">HQ</t>
  </si>
  <si>
    <t xml:space="preserve">Edge in One Line</t>
  </si>
  <si>
    <t xml:space="preserve">Access Channel</t>
  </si>
  <si>
    <t xml:space="preserve">Timing</t>
  </si>
  <si>
    <t xml:space="preserve">Personal Angle</t>
  </si>
  <si>
    <t xml:space="preserve">Priority</t>
  </si>
  <si>
    <t xml:space="preserve">Status</t>
  </si>
  <si>
    <t xml:space="preserve">Next Step</t>
  </si>
  <si>
    <t xml:space="preserve">Next Step Date</t>
  </si>
  <si>
    <t xml:space="preserve">PJT Partners</t>
  </si>
  <si>
    <t xml:space="preserve">IB</t>
  </si>
  <si>
    <t xml:space="preserve">1 - OCR</t>
  </si>
  <si>
    <t xml:space="preserve">New York</t>
  </si>
  <si>
    <t xml:space="preserve">Payward's house bank (NinjaTrader, Bitnomial, Reap) plus Core Scientific debtor mandate and $9B co-sell to CoreWeave</t>
  </si>
  <si>
    <t xml:space="preserve">OCR presentations and closed lists; RSSG restructuring is a separate MBA-heavy track</t>
  </si>
  <si>
    <t xml:space="preserve">Sept-Jan OCR</t>
  </si>
  <si>
    <t xml:space="preserve">You are living the process they sell; pitch market-structure conviction, not one client</t>
  </si>
  <si>
    <t xml:space="preserve">Evercore</t>
  </si>
  <si>
    <t xml:space="preserve">Co-lead FA to Siris on the $4.2B Equiniti sale; largest EB associate class, best raw odds</t>
  </si>
  <si>
    <t xml:space="preserve">OCR; consistent CBS hirer</t>
  </si>
  <si>
    <t xml:space="preserve">Brand plus optionality play; Gol/Smiles is the anchor story</t>
  </si>
  <si>
    <t xml:space="preserve">Moelis</t>
  </si>
  <si>
    <t xml:space="preserve">Restructuring franchise leader (Voyager, Genesis, BlockFi debtors); Bitfarms buy-side; Core Scientific co-sell</t>
  </si>
  <si>
    <t xml:space="preserve">Standard OCR process</t>
  </si>
  <si>
    <t xml:space="preserve">Rx depth is the counter-cyclical hedge if crypto M&amp;A slows</t>
  </si>
  <si>
    <t xml:space="preserve">Centerview</t>
  </si>
  <si>
    <t xml:space="preserve">Celsius Ch. 11 debtor banker (~$20M fee allocation); smallest class, most selective</t>
  </si>
  <si>
    <t xml:space="preserve">OCR</t>
  </si>
  <si>
    <t xml:space="preserve">-</t>
  </si>
  <si>
    <t xml:space="preserve">Perella Weinberg</t>
  </si>
  <si>
    <t xml:space="preserve">FTX debtors and Celsius creditors: the two biggest crypto estates</t>
  </si>
  <si>
    <t xml:space="preserve">Ask how the market-structure franchise carries forward post-FTX</t>
  </si>
  <si>
    <t xml:space="preserve">Lazard</t>
  </si>
  <si>
    <t xml:space="preserve">Co-FA to FTAI on the $1.5B Long Ridge sale to MARA</t>
  </si>
  <si>
    <t xml:space="preserve">Houlihan Lokey</t>
  </si>
  <si>
    <t xml:space="preserve">NYC + LA</t>
  </si>
  <si>
    <t xml:space="preserve">Genesis creditors; creditor-side franchise across the 2022-24 crypto bankruptcies</t>
  </si>
  <si>
    <t xml:space="preserve">OCR; corporate finance and restructuring tracks</t>
  </si>
  <si>
    <t xml:space="preserve">Guggenheim</t>
  </si>
  <si>
    <t xml:space="preserve">Fintech coverage; no disclosed crypto M&amp;A credits 2024-26</t>
  </si>
  <si>
    <t xml:space="preserve">Weakest Tier 1 evidence; only if networking comes cheap</t>
  </si>
  <si>
    <t xml:space="preserve">Jefferies</t>
  </si>
  <si>
    <t xml:space="preserve">Three sell-sides in 15 months (NinjaTrader, Kiavi, Long Ridge) plus FTX creditors; best evidence-to-odds ratio</t>
  </si>
  <si>
    <t xml:space="preserve">OCR; larger associate class than the EBs</t>
  </si>
  <si>
    <t xml:space="preserve">Their sell-side seats mirror your COR PRIME work from the client side</t>
  </si>
  <si>
    <t xml:space="preserve">Cantor Fitzgerald</t>
  </si>
  <si>
    <t xml:space="preserve">2 - Direct</t>
  </si>
  <si>
    <t xml:space="preserve">DAT and de-SPAC co-leader (Twenty One, Securitize) plus Strive buy-side on the $1.4B Semler merger</t>
  </si>
  <si>
    <t xml:space="preserve">NYC postings plus direct outreach to the digital assets group</t>
  </si>
  <si>
    <t xml:space="preserve">Rolling</t>
  </si>
  <si>
    <t xml:space="preserve">Name the Semler mandate in the first note</t>
  </si>
  <si>
    <t xml:space="preserve">FT Partners</t>
  </si>
  <si>
    <t xml:space="preserve">San Francisco (NYC + London)</t>
  </si>
  <si>
    <t xml:space="preserve">#1 crypto sell-side franchise: Deribit, Hidden Road, WonderFi, Equiniti co-lead</t>
  </si>
  <si>
    <t xml:space="preserve">Direct via Greenhouse plus outreach to the crypto vertical (founder-led: Steve McLaughlin)</t>
  </si>
  <si>
    <t xml:space="preserve">Rolling, post-IBC book</t>
  </si>
  <si>
    <t xml:space="preserve">You have built the models their decks run on; diligence the culture with former juniors first</t>
  </si>
  <si>
    <t xml:space="preserve">KBW (Stifel)</t>
  </si>
  <si>
    <t xml:space="preserve">Stifel advised Riot on Block Mining; KBW crypto skews research and capital markets</t>
  </si>
  <si>
    <t xml:space="preserve">Network via FIG alumni</t>
  </si>
  <si>
    <t xml:space="preserve">Bank-crypto convergence (charters, stablecoin issuers) could re-rate this seat fast</t>
  </si>
  <si>
    <t xml:space="preserve">LionTree</t>
  </si>
  <si>
    <t xml:space="preserve">Exclusive sell-side to Semler on the Strive merger; Equiniti syndicate seat</t>
  </si>
  <si>
    <t xml:space="preserve">Network; NYC media and TMT events</t>
  </si>
  <si>
    <t xml:space="preserve">Galaxy (IB arm)</t>
  </si>
  <si>
    <t xml:space="preserve">3 - Network</t>
  </si>
  <si>
    <t xml:space="preserve">Bitstamp and Aplo exclusive sell-sides; largest crypto-native advisory platform</t>
  </si>
  <si>
    <t xml:space="preserve">CBS alumni plus direct outreach; one relationship opens IB and Ventures</t>
  </si>
  <si>
    <t xml:space="preserve">Post-close, spring 2027</t>
  </si>
  <si>
    <t xml:space="preserve">Your single best asymmetric bet: crypto-native brand, live flow, lateral-shaped profile</t>
  </si>
  <si>
    <t xml:space="preserve">Architect Partners</t>
  </si>
  <si>
    <t xml:space="preserve">Palo Alto</t>
  </si>
  <si>
    <t xml:space="preserve">Coinme, Caleb &amp; Brown, Magic Labs mandates; market-map alerts cover the whole space</t>
  </si>
  <si>
    <t xml:space="preserve">Engage the research; relationship built over time, not an application</t>
  </si>
  <si>
    <t xml:space="preserve">2029+ landing spot</t>
  </si>
  <si>
    <t xml:space="preserve">Their M&amp;A alerts are your ongoing market map; they ran Magic Labs into the Kraken web</t>
  </si>
  <si>
    <t xml:space="preserve">Areta</t>
  </si>
  <si>
    <t xml:space="preserve">Berlin (Singapore, Dubai)</t>
  </si>
  <si>
    <t xml:space="preserve">Self-reported 15+ mandates in 2025, $1B+ advised; Europe-weighted, smaller tickets</t>
  </si>
  <si>
    <t xml:space="preserve">Network</t>
  </si>
  <si>
    <t xml:space="preserve">Opportunistic</t>
  </si>
  <si>
    <t xml:space="preserve">Your London and Europe years fit their footprint</t>
  </si>
  <si>
    <t xml:space="preserve">Broadhaven</t>
  </si>
  <si>
    <t xml:space="preserve">BitMEX sale mandate; ErisX-to-Cboe pedigree; Broadhaven Ventures under the same roof</t>
  </si>
  <si>
    <t xml:space="preserve">One relationship serves advisory and venture tracks</t>
  </si>
  <si>
    <t xml:space="preserve">The quiet dual-track shop; fewer applicants think of it</t>
  </si>
  <si>
    <t xml:space="preserve">Cohen &amp; Co Capital Markets</t>
  </si>
  <si>
    <t xml:space="preserve">DAT and de-SPAC co-leader: ProCap and Nakamoto lead FA; Stronghold sell-side</t>
  </si>
  <si>
    <t xml:space="preserve">Watch postings plus outreach</t>
  </si>
  <si>
    <t xml:space="preserve">DAT-lane concentration carries derating risk</t>
  </si>
  <si>
    <t xml:space="preserve">Canaccord Genuity</t>
  </si>
  <si>
    <t xml:space="preserve">Toronto (NYC group)</t>
  </si>
  <si>
    <t xml:space="preserve">Digital assets group; flow skews capital markets over M&amp;A</t>
  </si>
  <si>
    <t xml:space="preserve">Watch postings</t>
  </si>
  <si>
    <t xml:space="preserve">BTIG</t>
  </si>
  <si>
    <t xml:space="preserve">Research-led digital assets banking; no disclosed M&amp;A credits 2024-26</t>
  </si>
  <si>
    <t xml:space="preserve">Compass Point</t>
  </si>
  <si>
    <t xml:space="preserve">Washington, DC</t>
  </si>
  <si>
    <t xml:space="preserve">Co-FA to MARA (with Barclays) on the $1.5B Long Ridge buy</t>
  </si>
  <si>
    <t xml:space="preserve">CRB Securities</t>
  </si>
  <si>
    <t xml:space="preserve">Fort Lee, NJ</t>
  </si>
  <si>
    <t xml:space="preserve">Cross River's banking arm; ran the Reap sell-side with Goldman Sachs (Asia)</t>
  </si>
  <si>
    <t xml:space="preserve">Speculative approach; small enough that one conversation matters</t>
  </si>
  <si>
    <t xml:space="preserve">If a franchise is being built, early joiners get outsized roles</t>
  </si>
  <si>
    <t xml:space="preserve">Aream &amp; Co</t>
  </si>
  <si>
    <t xml:space="preserve">London</t>
  </si>
  <si>
    <t xml:space="preserve">London digital asset boutique; no disclosed 2024-26 mandates surfaced</t>
  </si>
  <si>
    <t xml:space="preserve">Direct London-network play</t>
  </si>
  <si>
    <t xml:space="preserve">Kraken / Payward</t>
  </si>
  <si>
    <t xml:space="preserve">Corp Dev</t>
  </si>
  <si>
    <t xml:space="preserve">Exchange</t>
  </si>
  <si>
    <t xml:space="preserve">SF / remote-first</t>
  </si>
  <si>
    <t xml:space="preserve">Most acquisitive buyer in the dataset: 8+ deals in 18 months</t>
  </si>
  <si>
    <t xml:space="preserve">Ecosystem network; watch strategy and corp dev postings around the listing</t>
  </si>
  <si>
    <t xml:space="preserve">IPO window</t>
  </si>
  <si>
    <t xml:space="preserve">Your CoS and interim-CFO-style work is the job description</t>
  </si>
  <si>
    <t xml:space="preserve">Coinbase</t>
  </si>
  <si>
    <t xml:space="preserve">Remote-first</t>
  </si>
  <si>
    <t xml:space="preserve">Deribit ($2.9B) plus banker-less bolt-ons; corp dev and ventures are one org</t>
  </si>
  <si>
    <t xml:space="preserve">Fall MBA internship applications plus alumni</t>
  </si>
  <si>
    <t xml:space="preserve">Fall cycle</t>
  </si>
  <si>
    <t xml:space="preserve">Study the Coinbase Ventures portfolio before interviews</t>
  </si>
  <si>
    <t xml:space="preserve">Stripe</t>
  </si>
  <si>
    <t xml:space="preserve">Payments</t>
  </si>
  <si>
    <t xml:space="preserve">SF / Dublin</t>
  </si>
  <si>
    <t xml:space="preserve">Bridge ($1.1B) and Privy with no bankers disclosed; stablecoin thesis</t>
  </si>
  <si>
    <t xml:space="preserve">Warm intros only; no MBA machine</t>
  </si>
  <si>
    <t xml:space="preserve">Two-year project</t>
  </si>
  <si>
    <t xml:space="preserve">Payments and tokenization story; treat as a relationship build</t>
  </si>
  <si>
    <t xml:space="preserve">Ripple</t>
  </si>
  <si>
    <t xml:space="preserve">Infra / Payments</t>
  </si>
  <si>
    <t xml:space="preserve">SF (NYC office)</t>
  </si>
  <si>
    <t xml:space="preserve">Hidden Road ($1.25B), GTreasury ($1B), Rail, BC Payments; a deal a quarter</t>
  </si>
  <si>
    <t xml:space="preserve">Postings plus network; integration experience is the wedge</t>
  </si>
  <si>
    <t xml:space="preserve">Your Optimus integration work maps directly; prime-brokerage fluency from COR PRIME</t>
  </si>
  <si>
    <t xml:space="preserve">Mastercard</t>
  </si>
  <si>
    <t xml:space="preserve">TradFi</t>
  </si>
  <si>
    <t xml:space="preserve">Purchase, NY</t>
  </si>
  <si>
    <t xml:space="preserve">BVNK up to $1.8B, its biggest crypto deal; Start Path accelerator</t>
  </si>
  <si>
    <t xml:space="preserve">Structured MBA recruiting; corp dev and strategy tracks</t>
  </si>
  <si>
    <t xml:space="preserve">Most CBS-accessible corp dev door</t>
  </si>
  <si>
    <t xml:space="preserve">Robinhood</t>
  </si>
  <si>
    <t xml:space="preserve">Broker</t>
  </si>
  <si>
    <t xml:space="preserve">Menlo Park</t>
  </si>
  <si>
    <t xml:space="preserve">Bitstamp, WonderFi, TradePMR; outside banks plus inside corp dev</t>
  </si>
  <si>
    <t xml:space="preserve">Postings plus network</t>
  </si>
  <si>
    <t xml:space="preserve">Circle</t>
  </si>
  <si>
    <t xml:space="preserve">Stablecoin</t>
  </si>
  <si>
    <t xml:space="preserve">New York (One WTC)</t>
  </si>
  <si>
    <t xml:space="preserve">Hashnote and infrastructure bolt-ons; public-company stablecoin consolidation mandate</t>
  </si>
  <si>
    <t xml:space="preserve">Postings plus NYC network</t>
  </si>
  <si>
    <t xml:space="preserve">Stablecoin thesis plus your regulated-product operating history</t>
  </si>
  <si>
    <t xml:space="preserve">Figure</t>
  </si>
  <si>
    <t xml:space="preserve">Tokenization</t>
  </si>
  <si>
    <t xml:space="preserve">San Francisco</t>
  </si>
  <si>
    <t xml:space="preserve">Kiavi ($717M) with Sixth Street; tokenization consolidator</t>
  </si>
  <si>
    <t xml:space="preserve">Network via the Kiavi advisor web</t>
  </si>
  <si>
    <t xml:space="preserve">Deal-driven</t>
  </si>
  <si>
    <t xml:space="preserve">Your ETC Group equity-tokenization platform work is directly relevant</t>
  </si>
  <si>
    <t xml:space="preserve">Talos</t>
  </si>
  <si>
    <t xml:space="preserve">Infra (FROZEN)</t>
  </si>
  <si>
    <t xml:space="preserve">Cloudwall, Skolem, D3X, Coin Metrics; principal-to-principal, no bankers ever disclosed</t>
  </si>
  <si>
    <t xml:space="preserve">POST-CLOSE ONLY: no contact while Project Optimus is live</t>
  </si>
  <si>
    <t xml:space="preserve">After Optimus close</t>
  </si>
  <si>
    <t xml:space="preserve">The warmest door available afterward; total discipline until signing</t>
  </si>
  <si>
    <t xml:space="preserve">Tether</t>
  </si>
  <si>
    <t xml:space="preserve">El Salvador</t>
  </si>
  <si>
    <t xml:space="preserve">Tether Investments: Adecoagro ~70%, Twenty One, mining/AI; largest strategic balance sheet in crypto</t>
  </si>
  <si>
    <t xml:space="preserve">Network-only; no conventional corp dev path</t>
  </si>
  <si>
    <t xml:space="preserve">Adecoagro = Brazil-agri + your LatAm M&amp;A lens</t>
  </si>
  <si>
    <t xml:space="preserve">Anchorage Digital</t>
  </si>
  <si>
    <t xml:space="preserve">Crypto bank</t>
  </si>
  <si>
    <t xml:space="preserve">OCC charter moat; Mountain Protocol (USDM) buy 2025</t>
  </si>
  <si>
    <t xml:space="preserve">Postings + network</t>
  </si>
  <si>
    <t xml:space="preserve">Charter-bank language matches your regulated-platform seat</t>
  </si>
  <si>
    <t xml:space="preserve">FalconX</t>
  </si>
  <si>
    <t xml:space="preserve">Prime broker</t>
  </si>
  <si>
    <t xml:space="preserve">San Mateo, CA</t>
  </si>
  <si>
    <t xml:space="preserve">Serial: Arbelos 2025; 21Shares deal agreed Oct 2025 (verify close)</t>
  </si>
  <si>
    <t xml:space="preserve">Prime brokerage + ETP: both your worlds in one seat</t>
  </si>
  <si>
    <t xml:space="preserve">Fireblocks</t>
  </si>
  <si>
    <t xml:space="preserve">Infra</t>
  </si>
  <si>
    <t xml:space="preserve">Serial infra bolt-ons; tokenization push</t>
  </si>
  <si>
    <t xml:space="preserve">NYC postings + network</t>
  </si>
  <si>
    <t xml:space="preserve">Your COR PRIME stack likely runs on them</t>
  </si>
  <si>
    <t xml:space="preserve">MoonPay</t>
  </si>
  <si>
    <t xml:space="preserve">Miami, FL</t>
  </si>
  <si>
    <t xml:space="preserve">Serial acquirer: Helio $175M plus bolt-ons</t>
  </si>
  <si>
    <t xml:space="preserve">Serial-acquirer corp dev seat</t>
  </si>
  <si>
    <t xml:space="preserve">PayPal</t>
  </si>
  <si>
    <t xml:space="preserve">San Jose, CA</t>
  </si>
  <si>
    <t xml:space="preserve">PYUSD; Ventures arm; historic M&amp;A muscle</t>
  </si>
  <si>
    <t xml:space="preserve">Structured recruiting</t>
  </si>
  <si>
    <t xml:space="preserve">Stablecoin distribution thesis</t>
  </si>
  <si>
    <t xml:space="preserve">Visa</t>
  </si>
  <si>
    <t xml:space="preserve">Payment network</t>
  </si>
  <si>
    <t xml:space="preserve">USDC settlement live; Pismo $1B (Brazil); crypto team</t>
  </si>
  <si>
    <t xml:space="preserve">Structured MBA recruiting</t>
  </si>
  <si>
    <t xml:space="preserve">Pismo = Brazil angle; settlement = thesis</t>
  </si>
  <si>
    <t xml:space="preserve">Nubank</t>
  </si>
  <si>
    <t xml:space="preserve">Neobank</t>
  </si>
  <si>
    <t xml:space="preserve">Sao Paulo, BR</t>
  </si>
  <si>
    <t xml:space="preserve">Crypto at 100M+ customer scale</t>
  </si>
  <si>
    <t xml:space="preserve">Structured + network</t>
  </si>
  <si>
    <t xml:space="preserve">Brazil: language, market, network</t>
  </si>
  <si>
    <t xml:space="preserve">BlackRock (Digital Assets)</t>
  </si>
  <si>
    <t xml:space="preserve">Asset manager</t>
  </si>
  <si>
    <t xml:space="preserve">IBIT + BUIDL tokenized fund; largest TradFi digital-asset platform</t>
  </si>
  <si>
    <t xml:space="preserve">Structured MBA recruiting + digital-assets team</t>
  </si>
  <si>
    <t xml:space="preserve">Tokenization + ETF: both your theses at max scale</t>
  </si>
  <si>
    <t xml:space="preserve">Chainalysis</t>
  </si>
  <si>
    <t xml:space="preserve">Data / compliance</t>
  </si>
  <si>
    <t xml:space="preserve">Serial acquirer: Hexagate, Alterya</t>
  </si>
  <si>
    <t xml:space="preserve">Archetype's Egan backed it early</t>
  </si>
  <si>
    <t xml:space="preserve">Paxos</t>
  </si>
  <si>
    <t xml:space="preserve">Stablecoin infra</t>
  </si>
  <si>
    <t xml:space="preserve">NYDFS-regulated issuer: PYUSD, USDG</t>
  </si>
  <si>
    <t xml:space="preserve">Regulated-issuer language; Liberty City web</t>
  </si>
  <si>
    <t xml:space="preserve">Ondo Finance</t>
  </si>
  <si>
    <t xml:space="preserve">Oasis Pro license buy; tokenized treasuries leader</t>
  </si>
  <si>
    <t xml:space="preserve">NYC network</t>
  </si>
  <si>
    <t xml:space="preserve">Tokenized treasuries = thesis center</t>
  </si>
  <si>
    <t xml:space="preserve">21Shares</t>
  </si>
  <si>
    <t xml:space="preserve">ETP issuer</t>
  </si>
  <si>
    <t xml:space="preserve">NYC (US base)</t>
  </si>
  <si>
    <t xml:space="preserve">Largest crypto ETP issuer; FalconX deal agreed (verify)</t>
  </si>
  <si>
    <t xml:space="preserve">NYC team; in transition</t>
  </si>
  <si>
    <t xml:space="preserve">Your ETP market, known cold</t>
  </si>
  <si>
    <t xml:space="preserve">BitGo</t>
  </si>
  <si>
    <t xml:space="preserve">Custody</t>
  </si>
  <si>
    <t xml:space="preserve">Palo Alto + NYC Trust</t>
  </si>
  <si>
    <t xml:space="preserve">Custody consolidator; NYDFS trust; IPO track (verify)</t>
  </si>
  <si>
    <t xml:space="preserve">Postings on IPO path</t>
  </si>
  <si>
    <t xml:space="preserve">Regulated custody adjacent to prime</t>
  </si>
  <si>
    <t xml:space="preserve">Digital Asset (Canton)</t>
  </si>
  <si>
    <t xml:space="preserve">Market infra</t>
  </si>
  <si>
    <t xml:space="preserve">Canton Network; institutional consortium</t>
  </si>
  <si>
    <t xml:space="preserve">Institutional hiring; NYC</t>
  </si>
  <si>
    <t xml:space="preserve">Post-trade market structure</t>
  </si>
  <si>
    <t xml:space="preserve">Galaxy Ventures</t>
  </si>
  <si>
    <t xml:space="preserve">VC</t>
  </si>
  <si>
    <t xml:space="preserve">One-roof</t>
  </si>
  <si>
    <t xml:space="preserve">Fund I $175M+ (Jun 2025); stablecoins, payments, tokenization thesis</t>
  </si>
  <si>
    <t xml:space="preserve">Same relationship as Galaxy IB; CVF-compatible</t>
  </si>
  <si>
    <t xml:space="preserve">CVF Sept; rolling</t>
  </si>
  <si>
    <t xml:space="preserve">Your exit comps are their underwriting; one Galaxy relationship, three doors</t>
  </si>
  <si>
    <t xml:space="preserve">Fintech Collective</t>
  </si>
  <si>
    <t xml:space="preserve">Fintech VC</t>
  </si>
  <si>
    <t xml:space="preserve">Best pure stablecoins/payments thesis fit in NYC; capital markets DNA</t>
  </si>
  <si>
    <t xml:space="preserve">Newsletter, Layer One podcast, Stablecon</t>
  </si>
  <si>
    <t xml:space="preserve">Their capital-markets DNA matches your prime-lending seat</t>
  </si>
  <si>
    <t xml:space="preserve">Archetype</t>
  </si>
  <si>
    <t xml:space="preserve">Independent</t>
  </si>
  <si>
    <t xml:space="preserve">Fund III $100M+ (Sep 2025); stablecoins, payments infra, crypto x AI</t>
  </si>
  <si>
    <t xml:space="preserve">Archebyte podcast, NYC in-person events</t>
  </si>
  <si>
    <t xml:space="preserve">Variant</t>
  </si>
  <si>
    <t xml:space="preserve">Brooklyn</t>
  </si>
  <si>
    <t xml:space="preserve">Variant 4 $222M (Jun 2026); crypto x AI autonomy thesis</t>
  </si>
  <si>
    <t xml:space="preserve">Thesis essays; writing-first outreach works here</t>
  </si>
  <si>
    <t xml:space="preserve">Write your way in; they reward essays</t>
  </si>
  <si>
    <t xml:space="preserve">CoinFund</t>
  </si>
  <si>
    <t xml:space="preserve">$550M+ across recent vehicles; venture plus liquid; market-structure focus</t>
  </si>
  <si>
    <t xml:space="preserve">NYC events plus CVF; research and podcast engagement</t>
  </si>
  <si>
    <t xml:space="preserve">CVF Sept</t>
  </si>
  <si>
    <t xml:space="preserve">One of the few crypto funds a CBS student can see weekly</t>
  </si>
  <si>
    <t xml:space="preserve">Portal Ventures</t>
  </si>
  <si>
    <t xml:space="preserve">Fund II $75M (late 2024); pre-seed lead checks; fundamentals-driven</t>
  </si>
  <si>
    <t xml:space="preserve">Fisher's writing and podcasts; MBA-friendly framing</t>
  </si>
  <si>
    <t xml:space="preserve">The most MBA-legible framing in the set; hires early-career</t>
  </si>
  <si>
    <t xml:space="preserve">VanEck Ventures</t>
  </si>
  <si>
    <t xml:space="preserve">Corporate fund</t>
  </si>
  <si>
    <t xml:space="preserve">$30M debut fund; ex-Circle Ventures team; stablecoin/tokenization thesis</t>
  </si>
  <si>
    <t xml:space="preserve">Media-active partners; direct outreach viable</t>
  </si>
  <si>
    <t xml:space="preserve">An ETP operator's story lands at an ETP house: your ETC Group years are the intro</t>
  </si>
  <si>
    <t xml:space="preserve">6th Man Ventures</t>
  </si>
  <si>
    <t xml:space="preserve">Fund II $145M; consumer and Solana-weighted</t>
  </si>
  <si>
    <t xml:space="preserve">Dudas is highly public; NYC events</t>
  </si>
  <si>
    <t xml:space="preserve">North Island Ventures</t>
  </si>
  <si>
    <t xml:space="preserve">~$300M AUM; stablecoin payments and interoperability thesis</t>
  </si>
  <si>
    <t xml:space="preserve">Scher podcasts; watch for associate openings</t>
  </si>
  <si>
    <t xml:space="preserve">A live seat to watch, not just a coffee: they have hired associates</t>
  </si>
  <si>
    <t xml:space="preserve">Dragonfly (NYC)</t>
  </si>
  <si>
    <t xml:space="preserve">Bicoastal</t>
  </si>
  <si>
    <t xml:space="preserve">NYC + Singapore</t>
  </si>
  <si>
    <t xml:space="preserve">Fund IV $650M (Feb 2026); RWA and stablecoin pivot; ~$4B AUM</t>
  </si>
  <si>
    <t xml:space="preserve">Chopping Block podcast, research</t>
  </si>
  <si>
    <t xml:space="preserve">Note the DOJ / Tornado Cash caveat on one GP before any outreach there</t>
  </si>
  <si>
    <t xml:space="preserve">Union Square Ventures</t>
  </si>
  <si>
    <t xml:space="preserve">Thesis-driven; early Coinbase backer; still leading crypto rounds in 2025</t>
  </si>
  <si>
    <t xml:space="preserve">CVF plus thoughtful written outreach; they reward writing</t>
  </si>
  <si>
    <t xml:space="preserve">Castle Island Ventures</t>
  </si>
  <si>
    <t xml:space="preserve">Boston</t>
  </si>
  <si>
    <t xml:space="preserve">Backed both Talos and Coin Metrics; infrastructure-focused early stage</t>
  </si>
  <si>
    <t xml:space="preserve">Engage On The Brink first; post-close Talos angle</t>
  </si>
  <si>
    <t xml:space="preserve">Post-close</t>
  </si>
  <si>
    <t xml:space="preserve">The fund behind your counterparty; likely your strongest single VC relationship</t>
  </si>
  <si>
    <t xml:space="preserve">Coinbase Ventures</t>
  </si>
  <si>
    <t xml:space="preserve">CVC</t>
  </si>
  <si>
    <t xml:space="preserve">SF / remote</t>
  </si>
  <si>
    <t xml:space="preserve">Most active CVC in crypto; sits inside the corp dev org</t>
  </si>
  <si>
    <t xml:space="preserve">Through Coinbase MBA channels</t>
  </si>
  <si>
    <t xml:space="preserve">Fall</t>
  </si>
  <si>
    <t xml:space="preserve">Double-counts with the Coinbase corp dev track</t>
  </si>
  <si>
    <t xml:space="preserve">Kraken Ventures</t>
  </si>
  <si>
    <t xml:space="preserve">Standalone fund beside the most acquisitive corp dev team in crypto</t>
  </si>
  <si>
    <t xml:space="preserve">Ecosystem network</t>
  </si>
  <si>
    <t xml:space="preserve">Double-counts with the Kraken corp dev track</t>
  </si>
  <si>
    <t xml:space="preserve">Pantera Capital</t>
  </si>
  <si>
    <t xml:space="preserve">Oldest dedicated crypto fund; venture plus liquid</t>
  </si>
  <si>
    <t xml:space="preserve">Network; CVF thesis material travels well here</t>
  </si>
  <si>
    <t xml:space="preserve">ParaFi Capital</t>
  </si>
  <si>
    <t xml:space="preserve">Market-structure/DeFi institutional fund; venture + liquid; ex-KKR founder</t>
  </si>
  <si>
    <t xml:space="preserve">NYC network; research engagement</t>
  </si>
  <si>
    <t xml:space="preserve">Missing from the research - verify, then engage; strong thesis fit</t>
  </si>
  <si>
    <t xml:space="preserve">Paradigm</t>
  </si>
  <si>
    <t xml:space="preserve">Elite</t>
  </si>
  <si>
    <t xml:space="preserve">The reference crypto fund; Fund III $850M; research + policy</t>
  </si>
  <si>
    <t xml:space="preserve">Research-first engagement</t>
  </si>
  <si>
    <t xml:space="preserve">Long game</t>
  </si>
  <si>
    <t xml:space="preserve">Rare MBA entry; play via research</t>
  </si>
  <si>
    <t xml:space="preserve">Haun Ventures</t>
  </si>
  <si>
    <t xml:space="preserve">$1.5B; Katie Haun; policy-forward</t>
  </si>
  <si>
    <t xml:space="preserve">Policy/regulatory events</t>
  </si>
  <si>
    <t xml:space="preserve">Electric Capital</t>
  </si>
  <si>
    <t xml:space="preserve">Developer-data franchise; annual Developer Report</t>
  </si>
  <si>
    <t xml:space="preserve">Developer Report as entry</t>
  </si>
  <si>
    <t xml:space="preserve">The report is conversation currency</t>
  </si>
  <si>
    <t xml:space="preserve">Multicoin Capital</t>
  </si>
  <si>
    <t xml:space="preserve">Thesis fund</t>
  </si>
  <si>
    <t xml:space="preserve">Austin, TX</t>
  </si>
  <si>
    <t xml:space="preserve">Fund III $430M; Solana/DePIN; prolific public theses</t>
  </si>
  <si>
    <t xml:space="preserve">Writing-first; Breakpoint</t>
  </si>
  <si>
    <t xml:space="preserve">Respond to their essays in writing</t>
  </si>
  <si>
    <t xml:space="preserve">Ribbit Capital</t>
  </si>
  <si>
    <t xml:space="preserve">Fintech elite</t>
  </si>
  <si>
    <t xml:space="preserve">Coinbase/Robinhood/Nubank/Revolut backer</t>
  </si>
  <si>
    <t xml:space="preserve">Warm intros via fintech web</t>
  </si>
  <si>
    <t xml:space="preserve">Nubank web = Brazil angle</t>
  </si>
  <si>
    <t xml:space="preserve">Nyca Partners</t>
  </si>
  <si>
    <t xml:space="preserve">Hans Morris (ex-Visa president); payments/capital markets</t>
  </si>
  <si>
    <t xml:space="preserve">NYC fintech network; direct outreach</t>
  </si>
  <si>
    <t xml:space="preserve">Hires MBAs; payments royalty</t>
  </si>
  <si>
    <t xml:space="preserve">Illuminate Financial</t>
  </si>
  <si>
    <t xml:space="preserve">Cap-markets VC</t>
  </si>
  <si>
    <t xml:space="preserve">NYC + London</t>
  </si>
  <si>
    <t xml:space="preserve">Capital-markets infra thesis; bank strategic LPs</t>
  </si>
  <si>
    <t xml:space="preserve">Market-structure content; both cities</t>
  </si>
  <si>
    <t xml:space="preserve">Market-structure bullseye for your seat</t>
  </si>
  <si>
    <t xml:space="preserve">Liberty City Ventures</t>
  </si>
  <si>
    <t xml:space="preserve">Quiet NYC fund; early Paxos/Lukka backers</t>
  </si>
  <si>
    <t xml:space="preserve">NYC network play</t>
  </si>
  <si>
    <t xml:space="preserve">Paxos web</t>
  </si>
  <si>
    <t xml:space="preserve">Bain Capital Crypto</t>
  </si>
  <si>
    <t xml:space="preserve">Institutional</t>
  </si>
  <si>
    <t xml:space="preserve">SF + Boston</t>
  </si>
  <si>
    <t xml:space="preserve">$560M Fund I; technical depth, institutional platform</t>
  </si>
  <si>
    <t xml:space="preserve">BCC research engagement</t>
  </si>
  <si>
    <t xml:space="preserve">Institutional-path optionality</t>
  </si>
  <si>
    <t xml:space="preserve">a16z crypto</t>
  </si>
  <si>
    <t xml:space="preserve">Mega-platform</t>
  </si>
  <si>
    <t xml:space="preserve">Menlo Park + NYC</t>
  </si>
  <si>
    <t xml:space="preserve">Fund 5 $2.2B; stablecoins/tokenization thesis; CSX</t>
  </si>
  <si>
    <t xml:space="preserve">NYC office + CSX events</t>
  </si>
  <si>
    <t xml:space="preserve">Dixon Columbia tie; CSX cohorts in NYC</t>
  </si>
  <si>
    <t xml:space="preserve">Index Ventures</t>
  </si>
  <si>
    <t xml:space="preserve">Generalist w/ crypto</t>
  </si>
  <si>
    <t xml:space="preserve">SF + NYC + London</t>
  </si>
  <si>
    <t xml:space="preserve">Bridge (-&gt; Stripe $1.1B) credential; fintech bench</t>
  </si>
  <si>
    <t xml:space="preserve">NYC office network</t>
  </si>
  <si>
    <t xml:space="preserve">Stablecoin credential; verify current appetite</t>
  </si>
  <si>
    <t xml:space="preserve">Static columns compiled Aug 22, 2026 from the lane tabs, Target Profiles, and the NYC fund research. The 27 targets promoted the same day (universe + NYC-presence waves) and several HQ entries come from general knowledge - confirm before citing. Priority / Status / Next Step are live formulas into the lane tabs; keep working there. Full universes with NYC-presence flags: Corp Dev Universe and VC Universe tabs.</t>
  </si>
  <si>
    <t xml:space="preserve">IB / M&amp;A Advisory Targets</t>
  </si>
  <si>
    <t xml:space="preserve">CBS Class of 2028  |  Summer 2027 associate cycle  |  Tiers: 1 OCR, 2 Direct, 3 Network  |  Depth on Target Profiles</t>
  </si>
  <si>
    <t xml:space="preserve">Fill in the yellow columns (F to M). Row 6 is an example row; overwrite or delete it.</t>
  </si>
  <si>
    <t xml:space="preserve">Firm</t>
  </si>
  <si>
    <t xml:space="preserve">Tier</t>
  </si>
  <si>
    <t xml:space="preserve">Crypto / Deal Evidence</t>
  </si>
  <si>
    <t xml:space="preserve">Hiring Model</t>
  </si>
  <si>
    <t xml:space="preserve">Contact(s)</t>
  </si>
  <si>
    <t xml:space="preserve">Contact Source</t>
  </si>
  <si>
    <t xml:space="preserve">Last Contact</t>
  </si>
  <si>
    <t xml:space="preserve">Notes</t>
  </si>
  <si>
    <t xml:space="preserve">(Example) Firm Name</t>
  </si>
  <si>
    <t xml:space="preserve">Example row: overwrite or delete</t>
  </si>
  <si>
    <t xml:space="preserve">Structured</t>
  </si>
  <si>
    <t xml:space="preserve">High</t>
  </si>
  <si>
    <t xml:space="preserve">Outreach sent</t>
  </si>
  <si>
    <t xml:space="preserve">Jane Doe, VP FIG</t>
  </si>
  <si>
    <t xml:space="preserve">CBS alum ('24)</t>
  </si>
  <si>
    <t xml:space="preserve">Coffee chat at EIS</t>
  </si>
  <si>
    <t xml:space="preserve">Met at fintech club event</t>
  </si>
  <si>
    <t xml:space="preserve">Payward's house bank (NinjaTrader buy, Bitnomial sell, Reap buy); Core Scientific debtor banker and co-sell to CoreWeave ($9B)</t>
  </si>
  <si>
    <t xml:space="preserve">Structured summer associate program</t>
  </si>
  <si>
    <t xml:space="preserve">OCR presentations and closed lists; RSSG restructuring track is MBA-heavy</t>
  </si>
  <si>
    <t xml:space="preserve">Co-lead FA to Siris on the $4.2B Equiniti sale; broad fintech franchise</t>
  </si>
  <si>
    <t xml:space="preserve">Core OCR name; consistent CBS hirer</t>
  </si>
  <si>
    <t xml:space="preserve">Celsius Chapter 11 debtor banker (largest banker fee allocation, ~$20M); top-end fintech</t>
  </si>
  <si>
    <t xml:space="preserve">OCR; smallest class, most selective of the group</t>
  </si>
  <si>
    <t xml:space="preserve">FTX debtors banker; Celsius creditors banker; two of the biggest crypto estates</t>
  </si>
  <si>
    <t xml:space="preserve">Genesis creditors banker; creditor-side franchise across the crypto bankruptcies</t>
  </si>
  <si>
    <t xml:space="preserve">Fintech coverage; no disclosed crypto M&amp;A credits surfaced 2024-26</t>
  </si>
  <si>
    <t xml:space="preserve">Three sell-sides in 15 months (NinjaTrader, Kiavi, FTAI/Long Ridge) plus FTX creditors committee; steadiest non-BB in the space</t>
  </si>
  <si>
    <t xml:space="preserve">DAT and de-SPAC co-leader (Twenty One, Securitize) plus buy-side FA to Strive on the $1.4B Semler merger; bitcoin financing</t>
  </si>
  <si>
    <t xml:space="preserve">Posts roles; less structured MBA path</t>
  </si>
  <si>
    <t xml:space="preserve">#1 crypto sell-side franchise: Deribit, Hidden Road, WonderFi, and Equiniti co-lead; four marquee exits</t>
  </si>
  <si>
    <t xml:space="preserve">Direct hiring via Greenhouse; apprenticeship model</t>
  </si>
  <si>
    <t xml:space="preserve">Direct application plus targeted outreach; no major OCR presence</t>
  </si>
  <si>
    <t xml:space="preserve">Stifel advised Riot on the Block Mining buy; KBW crypto work skews research and capital markets, not M&amp;A</t>
  </si>
  <si>
    <t xml:space="preserve">Mostly lateral; selective postings</t>
  </si>
  <si>
    <t xml:space="preserve">Sell-side FA to Semler Scientific on the Strive merger; Equiniti syndicate seat for Siris</t>
  </si>
  <si>
    <t xml:space="preserve">Very selective, relationship-driven</t>
  </si>
  <si>
    <t xml:space="preserve">Network play; NYC events</t>
  </si>
  <si>
    <t xml:space="preserve">Two confirmed sell-sides: Bitstamp to Robinhood, Aplo to Coincheck; largest crypto-native advisory</t>
  </si>
  <si>
    <t xml:space="preserve">Lateral hires; occasional postings</t>
  </si>
  <si>
    <t xml:space="preserve">CBS alumni search plus direct outreach; dual door with Galaxy Ventures</t>
  </si>
  <si>
    <t xml:space="preserve">Three-plus mandates: Coinme, Caleb &amp; Brown, Magic Labs; the mid-market franchise plus market-map alerts</t>
  </si>
  <si>
    <t xml:space="preserve">Senior-only team; no program</t>
  </si>
  <si>
    <t xml:space="preserve">Relationship build over time, not an application</t>
  </si>
  <si>
    <t xml:space="preserve">Self-reported 15+ mandates in 2025, $1B+ cumulative advised; Bulletin sell-side, Bridgepoint buy-side; Europe-weighted, smaller tickets</t>
  </si>
  <si>
    <t xml:space="preserve">No formal program</t>
  </si>
  <si>
    <t xml:space="preserve">Network play; strong European deal flow</t>
  </si>
  <si>
    <t xml:space="preserve">BitMEX sale mandate; market structure specialist (ErisX to Cboe); Broadhaven Ventures under the same roof</t>
  </si>
  <si>
    <t xml:space="preserve">Small team; lateral hires</t>
  </si>
  <si>
    <t xml:space="preserve">Opportunistic hiring</t>
  </si>
  <si>
    <t xml:space="preserve">Digital assets group; a DCG-related mandate referenced but unnamed; flow skews capital markets over M&amp;A</t>
  </si>
  <si>
    <t xml:space="preserve">Lateral and just-in-time</t>
  </si>
  <si>
    <t xml:space="preserve">Research-led digital assets banking; no disclosed M&amp;A credits surfaced 2024-26</t>
  </si>
  <si>
    <t xml:space="preserve">Lateral</t>
  </si>
  <si>
    <t xml:space="preserve">Co-FA to MARA (with Barclays) on the $1.5B Long Ridge buy; research shop with a real FA credit</t>
  </si>
  <si>
    <t xml:space="preserve">Early build-out</t>
  </si>
  <si>
    <t xml:space="preserve">Speculative approach; new franchise worth watching</t>
  </si>
  <si>
    <t xml:space="preserve">London digital asset boutique; no disclosed 2024-26 mandates surfaced in the research</t>
  </si>
  <si>
    <t xml:space="preserve">Deal evidence from press releases, firm tombstones, SEC filings, and Architect Partners alerts through Aug 21, 2026. Tier 1 runs on the Sept-Jan OCR cycle; Tiers 2 and 3 run rolling and post-close.</t>
  </si>
  <si>
    <t xml:space="preserve">Corporate Development Targets</t>
  </si>
  <si>
    <t xml:space="preserve">The buy side of your Deal Evidence tab  |  Just-in-time hiring; postings and network, not a cycle  |  Full acquirer universe on the Corp Dev Universe tab</t>
  </si>
  <si>
    <t xml:space="preserve">Fill in the yellow columns (F to M).</t>
  </si>
  <si>
    <t xml:space="preserve">Category</t>
  </si>
  <si>
    <t xml:space="preserve">Most acquisitive buyer in the dataset: 8+ deals in 18 months (NinjaTrader, Bitnomial, Reap, Small Exchange, Magna, Magic Labs, Breakout)</t>
  </si>
  <si>
    <t xml:space="preserve">Just-in-time; tiny team; pre-IPO equity</t>
  </si>
  <si>
    <t xml:space="preserve">Deribit ($2.9B) plus banker-less bolt-ons (Echo, Liquifi, Iron, Spindl); corp dev and ventures combined</t>
  </si>
  <si>
    <t xml:space="preserve">Elite in-house shop; runs structured MBA internships</t>
  </si>
  <si>
    <t xml:space="preserve">Fall applications plus alumni</t>
  </si>
  <si>
    <t xml:space="preserve">Pure network hiring; no MBA machine</t>
  </si>
  <si>
    <t xml:space="preserve">Warm intros only; two-year relationship project</t>
  </si>
  <si>
    <t xml:space="preserve">Hidden Road ($1.25B), GTreasury ($1B), Rail, BC Payments; a deal a quarter on a huge balance sheet</t>
  </si>
  <si>
    <t xml:space="preserve">Posts corp dev and integration roles</t>
  </si>
  <si>
    <t xml:space="preserve">Bitstamp, WonderFi, TradePMR; uses Barclays and JPMorgan outside, corp dev inside</t>
  </si>
  <si>
    <t xml:space="preserve">Posts roles; growing team</t>
  </si>
  <si>
    <t xml:space="preserve">Hashnote and infrastructure bolt-ons; public company with stablecoin consolidation mandate</t>
  </si>
  <si>
    <t xml:space="preserve">Small team; posts roles</t>
  </si>
  <si>
    <t xml:space="preserve">Small team; deal-driven hiring</t>
  </si>
  <si>
    <t xml:space="preserve">Infra (frozen)</t>
  </si>
  <si>
    <t xml:space="preserve">Cloudwall, Skolem, D3X, Coin Metrics ($100M+); principal-to-principal, no bankers ever disclosed</t>
  </si>
  <si>
    <t xml:space="preserve">Tiny; hires around deals</t>
  </si>
  <si>
    <t xml:space="preserve">POST-CLOSE ONLY: no contact while Project Optimus is live; afterward the warmest door available</t>
  </si>
  <si>
    <t xml:space="preserve">Tether Investments: Adecoagro ~70% tender ($615.5M), Twenty One, mining/AI/media bets; the largest strategic balance sheet in crypto</t>
  </si>
  <si>
    <t xml:space="preserve">No conventional corp dev path; network-only</t>
  </si>
  <si>
    <t xml:space="preserve">Strategic weight, not a hiring machine; Adecoagro = LatAm angle</t>
  </si>
  <si>
    <t xml:space="preserve">OCC-chartered digital asset bank; bought Mountain Protocol (USDM stablecoin, 2025); institutional custody/settlement</t>
  </si>
  <si>
    <t xml:space="preserve">Small corp dev; institutional hiring</t>
  </si>
  <si>
    <t xml:space="preserve">Postings + network; charter-bank story</t>
  </si>
  <si>
    <t xml:space="preserve">Serial acquirer: Arbelos (2025); 21Shares acquisition agreed Oct 2025 (verify close); prime consolidation leader</t>
  </si>
  <si>
    <t xml:space="preserve">Real corp dev; growing fast</t>
  </si>
  <si>
    <t xml:space="preserve">Postings + network; prime + ETP = both your worlds</t>
  </si>
  <si>
    <t xml:space="preserve">NYC HQ; serial infra bolt-ons; tokenization push; the default institutional custody-tech stack</t>
  </si>
  <si>
    <t xml:space="preserve">Real corp dev; NYC</t>
  </si>
  <si>
    <t xml:space="preserve">Payments / on-ramp</t>
  </si>
  <si>
    <t xml:space="preserve">Serial acquirer: Helio $175M (2025) plus bolt-ons (verify list); consumer + enterprise crypto rails</t>
  </si>
  <si>
    <t xml:space="preserve">Corp dev active</t>
  </si>
  <si>
    <t xml:space="preserve">PYUSD stablecoin; PayPal Ventures; historic M&amp;A muscle (Curv, Paidy era)</t>
  </si>
  <si>
    <t xml:space="preserve">Large corp dev; structured MBA-friendly hiring</t>
  </si>
  <si>
    <t xml:space="preserve">Structured recruiting + postings</t>
  </si>
  <si>
    <t xml:space="preserve">Stablecoin settlement (USDC) live; Pismo $1B (Brazil, 2023); crypto team under Cuy Sheffield</t>
  </si>
  <si>
    <t xml:space="preserve">Large corp dev + dedicated crypto team; structured MBA recruiting</t>
  </si>
  <si>
    <t xml:space="preserve">Structured recruiting; crypto-team outreach</t>
  </si>
  <si>
    <t xml:space="preserve">Neobank (Brazil)</t>
  </si>
  <si>
    <t xml:space="preserve">Crypto rolled out to a 100M+ customer base; token and infrastructure bets</t>
  </si>
  <si>
    <t xml:space="preserve">Real corp dev; LatAm MBA recruiting</t>
  </si>
  <si>
    <t xml:space="preserve">Structured + network; Portuguese-native edge</t>
  </si>
  <si>
    <t xml:space="preserve">IBIT franchise; BUIDL tokenized fund with Securitize (equity stake); the largest digital-asset platform in TradFi</t>
  </si>
  <si>
    <t xml:space="preserve">Structured MBA recruiting; dedicated digital assets team</t>
  </si>
  <si>
    <t xml:space="preserve">NYC HQ; classic MBA process plus digital-assets team outreach</t>
  </si>
  <si>
    <t xml:space="preserve">NYC HQ; serial acquirer: Hexagate, Alterya (2024-25)</t>
  </si>
  <si>
    <t xml:space="preserve">Real corp dev; MBA-plausible seats</t>
  </si>
  <si>
    <t xml:space="preserve">NYC postings + network; Archetype's Egan backed it early</t>
  </si>
  <si>
    <t xml:space="preserve">NYDFS-regulated issuer (PYUSD for PayPal, USDG); regulated trust infrastructure</t>
  </si>
  <si>
    <t xml:space="preserve">NYC; regulated-infra hiring</t>
  </si>
  <si>
    <t xml:space="preserve">NYC postings + network; Liberty City backer web</t>
  </si>
  <si>
    <t xml:space="preserve">Tokenization / RWA</t>
  </si>
  <si>
    <t xml:space="preserve">NYC; bought Oasis Pro for broker-dealer/ATS licenses (2025); tokenized treasuries leader</t>
  </si>
  <si>
    <t xml:space="preserve">Small team; license- and deal-driven</t>
  </si>
  <si>
    <t xml:space="preserve">NYC network; tokenization thesis center</t>
  </si>
  <si>
    <t xml:space="preserve">US base in NYC; largest crypto ETP issuer; FalconX acquisition agreed Oct 2025 (verify close)</t>
  </si>
  <si>
    <t xml:space="preserve">In transition; NYC team</t>
  </si>
  <si>
    <t xml:space="preserve">Direct ETC Group competitor - you know this market cold</t>
  </si>
  <si>
    <t xml:space="preserve">BitGo New York Trust (NYDFS); custody consolidator; IPO track (verify)</t>
  </si>
  <si>
    <t xml:space="preserve">Corp dev + strategy hiring on the IPO path</t>
  </si>
  <si>
    <t xml:space="preserve">NYC trust entity + postings</t>
  </si>
  <si>
    <t xml:space="preserve">NYC; Canton Network with a Goldman/DTCC-adjacent consortium; major 2025 raise</t>
  </si>
  <si>
    <t xml:space="preserve">NYC TradFi-crypto door; post-trade + tokenization</t>
  </si>
  <si>
    <t xml:space="preserve">Corp dev teams are small (2 to 8 people) and hire around deals; the 'Not disclosed' buy-side cells in Deal Evidence mark the shops that run deals without bankers. Talos row is FROZEN until Project Optimus signs; no outreach of any kind before close. Rows 15-22 added Aug 22, 2026 from general knowledge (Jan 2026 horizon), not the verified research - verify before citing. Full acquirer universe on the Corp Dev Universe tab. Rows 23-29 added Aug 22, 2026 for NYC presence + fit (BlackRock through Digital Asset) - K-sourced except where research-verified; verify before citing.</t>
  </si>
  <si>
    <t xml:space="preserve">Corp Dev Universe</t>
  </si>
  <si>
    <t xml:space="preserve">The full strategic-acquirer universe with NYC reachability  |  Filter the NYC Presence column to plan coffee-chat range</t>
  </si>
  <si>
    <t xml:space="preserve">Src: R = verified Aug 2026 research; K = general knowledge - VERIFY. NYC Presence: HQ / Metro (commutable) / Office / Team / People (individuals based there) / Verify (unconfirmed) / '-' none known. K-confidence, Jan 2026 horizon - confirm before planning outreach around it. Yellow column M is yours.</t>
  </si>
  <si>
    <t xml:space="preserve">Entries:</t>
  </si>
  <si>
    <t xml:space="preserve">Company</t>
  </si>
  <si>
    <t xml:space="preserve">NYC Presence</t>
  </si>
  <si>
    <t xml:space="preserve">Ownership / Ticker</t>
  </si>
  <si>
    <t xml:space="preserve">Crypto M&amp;A / Strategic Evidence</t>
  </si>
  <si>
    <t xml:space="preserve">Corp Dev &amp; Hiring Reality</t>
  </si>
  <si>
    <t xml:space="preserve">MBA Door</t>
  </si>
  <si>
    <t xml:space="preserve">Src</t>
  </si>
  <si>
    <t xml:space="preserve">Your Flag</t>
  </si>
  <si>
    <t xml:space="preserve">People (verify)</t>
  </si>
  <si>
    <t xml:space="preserve">Private (IPO track)</t>
  </si>
  <si>
    <t xml:space="preserve">8+ deals in 18 months: NinjaTrader $1.5B, Bitnomial, Reap, Small Exchange, Magna, Magic Labs, Breakout</t>
  </si>
  <si>
    <t xml:space="preserve">Ecosystem network + postings around listing</t>
  </si>
  <si>
    <t xml:space="preserve">CoS/interim-CFO profile matches</t>
  </si>
  <si>
    <t xml:space="preserve">S1</t>
  </si>
  <si>
    <t xml:space="preserve">R</t>
  </si>
  <si>
    <t xml:space="preserve">On Corp Dev Targets tab; On working tab</t>
  </si>
  <si>
    <t xml:space="preserve">Office</t>
  </si>
  <si>
    <t xml:space="preserve">Public (COIN)</t>
  </si>
  <si>
    <t xml:space="preserve">Deribit $2.9B; banker-less bolt-ons: Echo, Liquifi, Iron, Spindl</t>
  </si>
  <si>
    <t xml:space="preserve">Elite in-house; structured MBA internships</t>
  </si>
  <si>
    <t xml:space="preserve">Fall applications + alumni</t>
  </si>
  <si>
    <t xml:space="preserve">Study Ventures portfolio first</t>
  </si>
  <si>
    <t xml:space="preserve">Private</t>
  </si>
  <si>
    <t xml:space="preserve">Bridge $1.1B; Privy; stablecoin thesis</t>
  </si>
  <si>
    <t xml:space="preserve">Pure network hiring</t>
  </si>
  <si>
    <t xml:space="preserve">Warm intros only; 2-year project</t>
  </si>
  <si>
    <t xml:space="preserve">Tokenization + payments story</t>
  </si>
  <si>
    <t xml:space="preserve">S2</t>
  </si>
  <si>
    <t xml:space="preserve">Hidden Road $1.25B; GTreasury $1B; Rail $200M; BC Payments</t>
  </si>
  <si>
    <t xml:space="preserve">Posts corp dev + integration roles</t>
  </si>
  <si>
    <t xml:space="preserve">Integration work maps; prime adjacency</t>
  </si>
  <si>
    <t xml:space="preserve">Metro HQ (Purchase)</t>
  </si>
  <si>
    <t xml:space="preserve">Public (MA)</t>
  </si>
  <si>
    <t xml:space="preserve">BVNK up to $1.8B (closed Aug 2026); Start Path</t>
  </si>
  <si>
    <t xml:space="preserve">Menlo Park, CA</t>
  </si>
  <si>
    <t xml:space="preserve">Public (HOOD)</t>
  </si>
  <si>
    <t xml:space="preserve">Bitstamp $200M; WonderFi C$250M; TradePMR</t>
  </si>
  <si>
    <t xml:space="preserve">Public (CRCL)</t>
  </si>
  <si>
    <t xml:space="preserve">Hashnote; infrastructure bolt-ons; consolidation mandate</t>
  </si>
  <si>
    <t xml:space="preserve">Postings + NYC network</t>
  </si>
  <si>
    <t xml:space="preserve">Regulated-platform operating history</t>
  </si>
  <si>
    <t xml:space="preserve">San Francisco, CA</t>
  </si>
  <si>
    <t xml:space="preserve">Office (verify)</t>
  </si>
  <si>
    <t xml:space="preserve">Public (FIGR, verify)</t>
  </si>
  <si>
    <t xml:space="preserve">Kiavi $717M with Sixth Street</t>
  </si>
  <si>
    <t xml:space="preserve">Small; deal-driven hiring</t>
  </si>
  <si>
    <t xml:space="preserve">Network via Kiavi advisor web</t>
  </si>
  <si>
    <t xml:space="preserve">ETC tokenization platform work</t>
  </si>
  <si>
    <t xml:space="preserve">New York, NY</t>
  </si>
  <si>
    <t xml:space="preserve">Cloudwall, Skolem, D3X, Coin Metrics $100M+; principal-to-principal</t>
  </si>
  <si>
    <t xml:space="preserve">POST-CLOSE ONLY</t>
  </si>
  <si>
    <t xml:space="preserve">Warmest door after Optimus signs</t>
  </si>
  <si>
    <t xml:space="preserve">On Corp Dev Targets tab; frozen until close; On working tab</t>
  </si>
  <si>
    <t xml:space="preserve">Gemini</t>
  </si>
  <si>
    <t xml:space="preserve">Public (GEMI)</t>
  </si>
  <si>
    <t xml:space="preserve">IPO Sep 2025 ($425M); acquisitive historically (Nifty era); rebuilding</t>
  </si>
  <si>
    <t xml:space="preserve">Small corp dev; NYC HQ</t>
  </si>
  <si>
    <t xml:space="preserve">Winklevoss Capital same roof</t>
  </si>
  <si>
    <t xml:space="preserve">Stock fell post-IPO; $100M insider injection May 2026</t>
  </si>
  <si>
    <t xml:space="preserve">Bullish</t>
  </si>
  <si>
    <t xml:space="preserve">Exchange / media</t>
  </si>
  <si>
    <t xml:space="preserve">NYC + Cayman</t>
  </si>
  <si>
    <t xml:space="preserve">Public (BLSH, verify)</t>
  </si>
  <si>
    <t xml:space="preserve">Equiniti $4.2B buy (2026); owns CoinDesk</t>
  </si>
  <si>
    <t xml:space="preserve">Building out post-Equiniti</t>
  </si>
  <si>
    <t xml:space="preserve">Postings; the Equiniti integration needs people</t>
  </si>
  <si>
    <t xml:space="preserve">Integration story = your wedge</t>
  </si>
  <si>
    <t xml:space="preserve">Equiniti deal is in your Deal Evidence tab</t>
  </si>
  <si>
    <t xml:space="preserve">Crypto.com</t>
  </si>
  <si>
    <t xml:space="preserve">Singapore</t>
  </si>
  <si>
    <t xml:space="preserve">Acquisitive history (Watchdog, derivatives licenses, SEC-reg entities)</t>
  </si>
  <si>
    <t xml:space="preserve">Global; US corp dev present</t>
  </si>
  <si>
    <t xml:space="preserve">Postings</t>
  </si>
  <si>
    <t xml:space="preserve">S3</t>
  </si>
  <si>
    <t xml:space="preserve">K</t>
  </si>
  <si>
    <t xml:space="preserve">OKX</t>
  </si>
  <si>
    <t xml:space="preserve">Seychelles / San Jose US HQ</t>
  </si>
  <si>
    <t xml:space="preserve">US expansion 2025; license-driven deals</t>
  </si>
  <si>
    <t xml:space="preserve">US build-out hiring</t>
  </si>
  <si>
    <t xml:space="preserve">US postings</t>
  </si>
  <si>
    <t xml:space="preserve">eToro</t>
  </si>
  <si>
    <t xml:space="preserve">Israel / NYC</t>
  </si>
  <si>
    <t xml:space="preserve">Office (US base)</t>
  </si>
  <si>
    <t xml:space="preserve">Public (ETOR)</t>
  </si>
  <si>
    <t xml:space="preserve">IPO May 2025; acquisitive history (Gatsby, Deep)</t>
  </si>
  <si>
    <t xml:space="preserve">Corp dev exists</t>
  </si>
  <si>
    <t xml:space="preserve">Webull</t>
  </si>
  <si>
    <t xml:space="preserve">St. Petersburg, FL</t>
  </si>
  <si>
    <t xml:space="preserve">Public (BULL)</t>
  </si>
  <si>
    <t xml:space="preserve">Re-launched crypto 2025</t>
  </si>
  <si>
    <t xml:space="preserve">Thin crypto corp dev</t>
  </si>
  <si>
    <t xml:space="preserve">Monitor</t>
  </si>
  <si>
    <t xml:space="preserve">Interactive Brokers</t>
  </si>
  <si>
    <t xml:space="preserve">Greenwich, CT</t>
  </si>
  <si>
    <t xml:space="preserve">Metro (Greenwich)</t>
  </si>
  <si>
    <t xml:space="preserve">Public (IBKR)</t>
  </si>
  <si>
    <t xml:space="preserve">Crypto via Paxos/Zero Hash rails</t>
  </si>
  <si>
    <t xml:space="preserve">Strategy more than M&amp;A</t>
  </si>
  <si>
    <t xml:space="preserve">Metro-area TradFi door</t>
  </si>
  <si>
    <t xml:space="preserve">Charles Schwab</t>
  </si>
  <si>
    <t xml:space="preserve">Westlake, TX</t>
  </si>
  <si>
    <t xml:space="preserve">- (corp dev in TX)</t>
  </si>
  <si>
    <t xml:space="preserve">Public (SCHW)</t>
  </si>
  <si>
    <t xml:space="preserve">Announced direct crypto trading 2025-26; EDX backer</t>
  </si>
  <si>
    <t xml:space="preserve">Large corp dev/strategy org</t>
  </si>
  <si>
    <t xml:space="preserve">Structured hiring</t>
  </si>
  <si>
    <t xml:space="preserve">TradFi-crypto convergence seat</t>
  </si>
  <si>
    <t xml:space="preserve">Morgan Stanley / E*Trade</t>
  </si>
  <si>
    <t xml:space="preserve">Bank / broker</t>
  </si>
  <si>
    <t xml:space="preserve">Public (MS)</t>
  </si>
  <si>
    <t xml:space="preserve">E*Trade crypto launch announced (2025, Zero Hash rails - verify)</t>
  </si>
  <si>
    <t xml:space="preserve">Strategy org</t>
  </si>
  <si>
    <t xml:space="preserve">Classic MBA door</t>
  </si>
  <si>
    <t xml:space="preserve">Convergence thesis</t>
  </si>
  <si>
    <t xml:space="preserve">Coincheck Group</t>
  </si>
  <si>
    <t xml:space="preserve">Tokyo / Nasdaq</t>
  </si>
  <si>
    <t xml:space="preserve">Public (CNCK)</t>
  </si>
  <si>
    <t xml:space="preserve">Aplo buy (2025, Galaxy sell-side); Nasdaq-listed via de-SPAC</t>
  </si>
  <si>
    <t xml:space="preserve">Small; Japan + EU</t>
  </si>
  <si>
    <t xml:space="preserve">Aplo deal in Deal Evidence tab</t>
  </si>
  <si>
    <t xml:space="preserve">Dunamu (Upbit)</t>
  </si>
  <si>
    <t xml:space="preserve">Seoul, KR</t>
  </si>
  <si>
    <t xml:space="preserve">Korea's largest; occasional stakes</t>
  </si>
  <si>
    <t xml:space="preserve">Korea-based</t>
  </si>
  <si>
    <t xml:space="preserve">bitFlyer</t>
  </si>
  <si>
    <t xml:space="preserve">Tokyo, JP</t>
  </si>
  <si>
    <t xml:space="preserve">Acquired FTX Japan (2024)</t>
  </si>
  <si>
    <t xml:space="preserve">Japan</t>
  </si>
  <si>
    <t xml:space="preserve">SBI Digital Asset Holdings</t>
  </si>
  <si>
    <t xml:space="preserve">Exchange / bank group</t>
  </si>
  <si>
    <t xml:space="preserve">Public (8473.T)</t>
  </si>
  <si>
    <t xml:space="preserve">bitbank $289M (2026); B2C2 owner; serial digital-asset buyer</t>
  </si>
  <si>
    <t xml:space="preserve">Group-level corp dev</t>
  </si>
  <si>
    <t xml:space="preserve">bitbank deal in Deal Evidence tab</t>
  </si>
  <si>
    <t xml:space="preserve">Strike (Zap)</t>
  </si>
  <si>
    <t xml:space="preserve">Payments / bitcoin</t>
  </si>
  <si>
    <t xml:space="preserve">Chicago, IL</t>
  </si>
  <si>
    <t xml:space="preserve">Jack Mallers; also CEO of Twenty One</t>
  </si>
  <si>
    <t xml:space="preserve">Tiny</t>
  </si>
  <si>
    <t xml:space="preserve">River</t>
  </si>
  <si>
    <t xml:space="preserve">Bitcoin broker</t>
  </si>
  <si>
    <t xml:space="preserve">Bitcoin-only platform; steady growth</t>
  </si>
  <si>
    <t xml:space="preserve">Small</t>
  </si>
  <si>
    <t xml:space="preserve">Block (Square)</t>
  </si>
  <si>
    <t xml:space="preserve">Fintech / bitcoin</t>
  </si>
  <si>
    <t xml:space="preserve">Oakland, CA</t>
  </si>
  <si>
    <t xml:space="preserve">Public (XYZ)</t>
  </si>
  <si>
    <t xml:space="preserve">Bitkey, Proto mining rigs, Cash App bitcoin; Afterpay-era M&amp;A muscle</t>
  </si>
  <si>
    <t xml:space="preserve">Real corp dev org</t>
  </si>
  <si>
    <t xml:space="preserve">Postings; bitcoin-native strategy roles</t>
  </si>
  <si>
    <t xml:space="preserve">Office (Venmo NYC)</t>
  </si>
  <si>
    <t xml:space="preserve">Public (PYPL)</t>
  </si>
  <si>
    <t xml:space="preserve">PYUSD stablecoin; Curv + Paidy era buys; Ventures arm</t>
  </si>
  <si>
    <t xml:space="preserve">Large corp dev; MBA-friendly</t>
  </si>
  <si>
    <t xml:space="preserve">Promoted to Corp Dev Targets tab; On working tab</t>
  </si>
  <si>
    <t xml:space="preserve">Public (V)</t>
  </si>
  <si>
    <t xml:space="preserve">Stablecoin settlement (USDC); Pismo $1B (Brazil); crypto team under Cuy Sheffield</t>
  </si>
  <si>
    <t xml:space="preserve">Large corp dev + crypto team</t>
  </si>
  <si>
    <t xml:space="preserve">Pismo = Brazil angle; stablecoin settlement = thesis</t>
  </si>
  <si>
    <t xml:space="preserve">Fiserv</t>
  </si>
  <si>
    <t xml:space="preserve">Payments infra</t>
  </si>
  <si>
    <t xml:space="preserve">Milwaukee, WI</t>
  </si>
  <si>
    <t xml:space="preserve">Office (First Data legacy)</t>
  </si>
  <si>
    <t xml:space="preserve">Public (FI)</t>
  </si>
  <si>
    <t xml:space="preserve">FIUSD stablecoin launch (2025); serial acquirer</t>
  </si>
  <si>
    <t xml:space="preserve">Big corp dev org</t>
  </si>
  <si>
    <t xml:space="preserve">Stablecoin-meets-legacy-rails story</t>
  </si>
  <si>
    <t xml:space="preserve">Western Union</t>
  </si>
  <si>
    <t xml:space="preserve">Remittances</t>
  </si>
  <si>
    <t xml:space="preserve">Denver, CO</t>
  </si>
  <si>
    <t xml:space="preserve">Public (WU)</t>
  </si>
  <si>
    <t xml:space="preserve">Stablecoin pilots announced 2025 (verify scope)</t>
  </si>
  <si>
    <t xml:space="preserve">Remittance + stablecoin thesis</t>
  </si>
  <si>
    <t xml:space="preserve">MoneyGram</t>
  </si>
  <si>
    <t xml:space="preserve">Dallas, TX</t>
  </si>
  <si>
    <t xml:space="preserve">Private (MDP-owned)</t>
  </si>
  <si>
    <t xml:space="preserve">Stellar USDC cash rails</t>
  </si>
  <si>
    <t xml:space="preserve">Revolut</t>
  </si>
  <si>
    <t xml:space="preserve">London, UK</t>
  </si>
  <si>
    <t xml:space="preserve">Office (US base NYC)</t>
  </si>
  <si>
    <t xml:space="preserve">Large crypto book; occasional bolt-ons</t>
  </si>
  <si>
    <t xml:space="preserve">London strategy org</t>
  </si>
  <si>
    <t xml:space="preserve">London network</t>
  </si>
  <si>
    <t xml:space="preserve">Your London base</t>
  </si>
  <si>
    <t xml:space="preserve">Public (NU)</t>
  </si>
  <si>
    <t xml:space="preserve">Crypto rollout; token bets; minority stakes</t>
  </si>
  <si>
    <t xml:space="preserve">Real corp dev; LatAm MBA hiring</t>
  </si>
  <si>
    <t xml:space="preserve">Mercado Libre / Mercado Pago</t>
  </si>
  <si>
    <t xml:space="preserve">Commerce / fintech</t>
  </si>
  <si>
    <t xml:space="preserve">Buenos Aires / Sao Paulo</t>
  </si>
  <si>
    <t xml:space="preserve">Public (MELI)</t>
  </si>
  <si>
    <t xml:space="preserve">Crypto in Mercado Pago; stablecoin interest (Meli Dolar)</t>
  </si>
  <si>
    <t xml:space="preserve">Big corp dev; LatAm MBA recruiting</t>
  </si>
  <si>
    <t xml:space="preserve">Brazil angle direct</t>
  </si>
  <si>
    <t xml:space="preserve">Bitso</t>
  </si>
  <si>
    <t xml:space="preserve">Exchange / payments</t>
  </si>
  <si>
    <t xml:space="preserve">Mexico City / remote</t>
  </si>
  <si>
    <t xml:space="preserve">LatAm leader; stablecoin rails (Juno unit)</t>
  </si>
  <si>
    <t xml:space="preserve">Small corp dev</t>
  </si>
  <si>
    <t xml:space="preserve">LatAm crypto payments = your two worlds</t>
  </si>
  <si>
    <t xml:space="preserve">SoFi</t>
  </si>
  <si>
    <t xml:space="preserve">Fintech / bank</t>
  </si>
  <si>
    <t xml:space="preserve">Public (SOFI)</t>
  </si>
  <si>
    <t xml:space="preserve">Re-entered crypto 2025 with bank charter</t>
  </si>
  <si>
    <t xml:space="preserve">Corp dev + strategy org</t>
  </si>
  <si>
    <t xml:space="preserve">Charter-bank crypto convergence</t>
  </si>
  <si>
    <t xml:space="preserve">dLocal</t>
  </si>
  <si>
    <t xml:space="preserve">Montevideo, UY</t>
  </si>
  <si>
    <t xml:space="preserve">Public (DLO)</t>
  </si>
  <si>
    <t xml:space="preserve">Stablecoin settlement interest (verify)</t>
  </si>
  <si>
    <t xml:space="preserve">LatAm payments</t>
  </si>
  <si>
    <t xml:space="preserve">EBANX</t>
  </si>
  <si>
    <t xml:space="preserve">Curitiba, BR</t>
  </si>
  <si>
    <t xml:space="preserve">LatAm payments; stablecoin pilots (verify)</t>
  </si>
  <si>
    <t xml:space="preserve">Brazil HQ</t>
  </si>
  <si>
    <t xml:space="preserve">Tether Investments: Adecoagro ~70% ($615.5M tender), Twenty One, Rumble stake, mining, AI</t>
  </si>
  <si>
    <t xml:space="preserve">No conventional corp dev path; strategic weight enormous</t>
  </si>
  <si>
    <t xml:space="preserve">Network only; not a hiring machine</t>
  </si>
  <si>
    <t xml:space="preserve">Promoted to Corp Dev Targets tab; Adecoagro in Deal Evidence; On working tab</t>
  </si>
  <si>
    <t xml:space="preserve">Issues PYUSD, USDG; regulated trust; acquisitive-adjacent (Membrane? verify)</t>
  </si>
  <si>
    <t xml:space="preserve">Regulated-platform language; Liberty City web</t>
  </si>
  <si>
    <t xml:space="preserve">On working tab</t>
  </si>
  <si>
    <t xml:space="preserve">BVNK</t>
  </si>
  <si>
    <t xml:space="preserve">Stablecoin payments</t>
  </si>
  <si>
    <t xml:space="preserve">Verify</t>
  </si>
  <si>
    <t xml:space="preserve">Mastercard (closed Aug 2026)</t>
  </si>
  <si>
    <t xml:space="preserve">Acquired by Mastercard up to $1.8B</t>
  </si>
  <si>
    <t xml:space="preserve">Integration phase</t>
  </si>
  <si>
    <t xml:space="preserve">Via Mastercard door</t>
  </si>
  <si>
    <t xml:space="preserve">London + stablecoin ops</t>
  </si>
  <si>
    <t xml:space="preserve">Deal in Deal Evidence tab</t>
  </si>
  <si>
    <t xml:space="preserve">Bridge (Stripe)</t>
  </si>
  <si>
    <t xml:space="preserve">SF (Stripe unit)</t>
  </si>
  <si>
    <t xml:space="preserve">Stripe-owned</t>
  </si>
  <si>
    <t xml:space="preserve">Stripe's $1.1B stablecoin backbone</t>
  </si>
  <si>
    <t xml:space="preserve">Via Stripe</t>
  </si>
  <si>
    <t xml:space="preserve">Via Stripe lane</t>
  </si>
  <si>
    <t xml:space="preserve">Zero Hash</t>
  </si>
  <si>
    <t xml:space="preserve">Crypto-as-a-service</t>
  </si>
  <si>
    <t xml:space="preserve">Powers brokers' crypto (IBKR, others); raised big 2025 (verify)</t>
  </si>
  <si>
    <t xml:space="preserve">B2B infra hiring</t>
  </si>
  <si>
    <t xml:space="preserve">B2B rails = market structure</t>
  </si>
  <si>
    <t xml:space="preserve">On-ramp / payments</t>
  </si>
  <si>
    <t xml:space="preserve">Serial acquirer: Helio ($175M), plus infra bolt-ons (verify list)</t>
  </si>
  <si>
    <t xml:space="preserve">Real corp dev activity</t>
  </si>
  <si>
    <t xml:space="preserve">Serial-acquirer seat</t>
  </si>
  <si>
    <t xml:space="preserve">Ramp Network</t>
  </si>
  <si>
    <t xml:space="preserve">On-ramp</t>
  </si>
  <si>
    <t xml:space="preserve">Warsaw / London</t>
  </si>
  <si>
    <t xml:space="preserve">On/off-ramp infra</t>
  </si>
  <si>
    <t xml:space="preserve">Transak</t>
  </si>
  <si>
    <t xml:space="preserve">Miami / London</t>
  </si>
  <si>
    <t xml:space="preserve">On-ramp infra</t>
  </si>
  <si>
    <t xml:space="preserve">BitPay</t>
  </si>
  <si>
    <t xml:space="preserve">Crypto payments</t>
  </si>
  <si>
    <t xml:space="preserve">Atlanta, GA</t>
  </si>
  <si>
    <t xml:space="preserve">OG crypto payments processor</t>
  </si>
  <si>
    <t xml:space="preserve">Token (ONDO)</t>
  </si>
  <si>
    <t xml:space="preserve">Oasis Pro buy (broker-dealer licenses, 2025); Strangelove; GM-cleared products</t>
  </si>
  <si>
    <t xml:space="preserve">Small; acquisitive for licenses</t>
  </si>
  <si>
    <t xml:space="preserve">Agora</t>
  </si>
  <si>
    <t xml:space="preserve">White-label stablecoin issuer; Dragonfly-backed</t>
  </si>
  <si>
    <t xml:space="preserve">Early-stage hiring</t>
  </si>
  <si>
    <t xml:space="preserve">Stablecoin issuance mechanics</t>
  </si>
  <si>
    <t xml:space="preserve">Superstate</t>
  </si>
  <si>
    <t xml:space="preserve">Chicago / NYC</t>
  </si>
  <si>
    <t xml:space="preserve">Tokenized funds (Robert Leshner)</t>
  </si>
  <si>
    <t xml:space="preserve">Palo Alto, CA</t>
  </si>
  <si>
    <t xml:space="preserve">Office (BitGo NY Trust)</t>
  </si>
  <si>
    <t xml:space="preserve">Private (IPO filed 2025, verify)</t>
  </si>
  <si>
    <t xml:space="preserve">Custody consolidator; HeightZero, Brassica buys (verify); IPO track</t>
  </si>
  <si>
    <t xml:space="preserve">Corp dev + strategy hiring on IPO path</t>
  </si>
  <si>
    <t xml:space="preserve">Regulated custody = adjacent to prime</t>
  </si>
  <si>
    <t xml:space="preserve">Crypto bank / custody</t>
  </si>
  <si>
    <t xml:space="preserve">Private (OCC charter)</t>
  </si>
  <si>
    <t xml:space="preserve">Mountain Protocol (USDM stablecoin) buy 2025; federal charter moat</t>
  </si>
  <si>
    <t xml:space="preserve">Charter-bank language; prime adjacency</t>
  </si>
  <si>
    <t xml:space="preserve">Infra / custody tech</t>
  </si>
  <si>
    <t xml:space="preserve">Serial buyer: BlockFold, First Digital? (verify list); tokenization push</t>
  </si>
  <si>
    <t xml:space="preserve">NYC HQ; real corp dev</t>
  </si>
  <si>
    <t xml:space="preserve">Copper</t>
  </si>
  <si>
    <t xml:space="preserve">Custody / prime infra</t>
  </si>
  <si>
    <t xml:space="preserve">ClearLoop network; acquisitive-adjacent</t>
  </si>
  <si>
    <t xml:space="preserve">London institutional</t>
  </si>
  <si>
    <t xml:space="preserve">Direct competitor-adjacent to COR PRIME world</t>
  </si>
  <si>
    <t xml:space="preserve">Komainu</t>
  </si>
  <si>
    <t xml:space="preserve">Jersey / London</t>
  </si>
  <si>
    <t xml:space="preserve">Nomura JV</t>
  </si>
  <si>
    <t xml:space="preserve">Nomura-Ledger-CoinShares JV; raised 2024</t>
  </si>
  <si>
    <t xml:space="preserve">Laser Digital web</t>
  </si>
  <si>
    <t xml:space="preserve">Zodia Custody / Zodia Markets</t>
  </si>
  <si>
    <t xml:space="preserve">Custody / OTC</t>
  </si>
  <si>
    <t xml:space="preserve">StanChart-built</t>
  </si>
  <si>
    <t xml:space="preserve">Zodia Custody minority buyout by StanChart (2026); Zodia Markets to Circle Ventures web (verify)</t>
  </si>
  <si>
    <t xml:space="preserve">Via SC Ventures</t>
  </si>
  <si>
    <t xml:space="preserve">In Deal Evidence tab</t>
  </si>
  <si>
    <t xml:space="preserve">Hex Trust</t>
  </si>
  <si>
    <t xml:space="preserve">Hong Kong / Dubai</t>
  </si>
  <si>
    <t xml:space="preserve">Asia institutional custody</t>
  </si>
  <si>
    <t xml:space="preserve">Ledger</t>
  </si>
  <si>
    <t xml:space="preserve">Hardware / custody tech</t>
  </si>
  <si>
    <t xml:space="preserve">Paris, FR</t>
  </si>
  <si>
    <t xml:space="preserve">Enterprise + consumer custody tech</t>
  </si>
  <si>
    <t xml:space="preserve">Paris/London</t>
  </si>
  <si>
    <t xml:space="preserve">Utila</t>
  </si>
  <si>
    <t xml:space="preserve">Wallet infra</t>
  </si>
  <si>
    <t xml:space="preserve">Tel Aviv / NYC</t>
  </si>
  <si>
    <t xml:space="preserve">North Island portfolio; institutional wallets</t>
  </si>
  <si>
    <t xml:space="preserve">Startup hiring</t>
  </si>
  <si>
    <t xml:space="preserve">Via NIV web</t>
  </si>
  <si>
    <t xml:space="preserve">Bakkt</t>
  </si>
  <si>
    <t xml:space="preserve">Infra (restructured)</t>
  </si>
  <si>
    <t xml:space="preserve">Alpharetta, GA</t>
  </si>
  <si>
    <t xml:space="preserve">Public (BKKT)</t>
  </si>
  <si>
    <t xml:space="preserve">Sold loyalty; crypto pivot-and-shrink; DTR/stablecoin pivot attempts</t>
  </si>
  <si>
    <t xml:space="preserve">Unstable</t>
  </si>
  <si>
    <t xml:space="preserve">Exclude</t>
  </si>
  <si>
    <t xml:space="preserve">Avoid: strategy churn</t>
  </si>
  <si>
    <t xml:space="preserve">Galaxy Digital</t>
  </si>
  <si>
    <t xml:space="preserve">Full platform</t>
  </si>
  <si>
    <t xml:space="preserve">Public (GLXY)</t>
  </si>
  <si>
    <t xml:space="preserve">Helios datacenter pivot; Bitstamp + Aplo sell-side mandates (IB); GalaxyOne prime</t>
  </si>
  <si>
    <t xml:space="preserve">Corp dev + strategy across arms</t>
  </si>
  <si>
    <t xml:space="preserve">One relationship, many doors</t>
  </si>
  <si>
    <t xml:space="preserve">Your #1 asymmetric bet (see IB + VC lanes)</t>
  </si>
  <si>
    <t xml:space="preserve">Cross-listed on IB Targets</t>
  </si>
  <si>
    <t xml:space="preserve">Arbelos buy (2025); 21Shares acquisition agreed (Oct 2025, verify close); serial</t>
  </si>
  <si>
    <t xml:space="preserve">Real corp dev; prime growth</t>
  </si>
  <si>
    <t xml:space="preserve">PRIME BROKERAGE: your exact COR PRIME world + 21Shares = your ETP world</t>
  </si>
  <si>
    <t xml:space="preserve">Hidden Road (Ripple Prime)</t>
  </si>
  <si>
    <t xml:space="preserve">NYC / London</t>
  </si>
  <si>
    <t xml:space="preserve">Ripple-owned</t>
  </si>
  <si>
    <t xml:space="preserve">$1.25B Ripple buy (2025); now Ripple Prime</t>
  </si>
  <si>
    <t xml:space="preserve">Via Ripple lane</t>
  </si>
  <si>
    <t xml:space="preserve">Via Ripple postings</t>
  </si>
  <si>
    <t xml:space="preserve">Prime brokerage core thesis</t>
  </si>
  <si>
    <t xml:space="preserve">B2C2</t>
  </si>
  <si>
    <t xml:space="preserve">Market maker / OTC</t>
  </si>
  <si>
    <t xml:space="preserve">SBI-owned</t>
  </si>
  <si>
    <t xml:space="preserve">SBI-owned liquidity provider</t>
  </si>
  <si>
    <t xml:space="preserve">Counterparty-type familiarity</t>
  </si>
  <si>
    <t xml:space="preserve">Cumberland (DRW)</t>
  </si>
  <si>
    <t xml:space="preserve">Trading</t>
  </si>
  <si>
    <t xml:space="preserve">Office (via DRW NYC)</t>
  </si>
  <si>
    <t xml:space="preserve">Private (DRW)</t>
  </si>
  <si>
    <t xml:space="preserve">OTC liquidity arm of DRW</t>
  </si>
  <si>
    <t xml:space="preserve">Trading-firm hiring</t>
  </si>
  <si>
    <t xml:space="preserve">Wintermute</t>
  </si>
  <si>
    <t xml:space="preserve">Market maker</t>
  </si>
  <si>
    <t xml:space="preserve">Office (opened ~2025, verify)</t>
  </si>
  <si>
    <t xml:space="preserve">Dominant algorithmic MM; OTC growth; NYC expansion (verify)</t>
  </si>
  <si>
    <t xml:space="preserve">London/NYC trading hiring</t>
  </si>
  <si>
    <t xml:space="preserve">Market-structure fluency</t>
  </si>
  <si>
    <t xml:space="preserve">GSR</t>
  </si>
  <si>
    <t xml:space="preserve">London / Singapore</t>
  </si>
  <si>
    <t xml:space="preserve">MM + ventures arm</t>
  </si>
  <si>
    <t xml:space="preserve">Flowdesk</t>
  </si>
  <si>
    <t xml:space="preserve">Raised 2024-25; MM-as-a-service</t>
  </si>
  <si>
    <t xml:space="preserve">Paris/NYC</t>
  </si>
  <si>
    <t xml:space="preserve">Keyrock</t>
  </si>
  <si>
    <t xml:space="preserve">Brussels, BE</t>
  </si>
  <si>
    <t xml:space="preserve">Acquired Turing Capital (2025, verify); options push</t>
  </si>
  <si>
    <t xml:space="preserve">Amber Group</t>
  </si>
  <si>
    <t xml:space="preserve">Trading / wealth</t>
  </si>
  <si>
    <t xml:space="preserve">Singapore / HK</t>
  </si>
  <si>
    <t xml:space="preserve">Public (AMBR via SPAC, verify)</t>
  </si>
  <si>
    <t xml:space="preserve">WhaleFin era; restructured</t>
  </si>
  <si>
    <t xml:space="preserve">StoneX Digital</t>
  </si>
  <si>
    <t xml:space="preserve">Broker / FCM</t>
  </si>
  <si>
    <t xml:space="preserve">Public (SNEX)</t>
  </si>
  <si>
    <t xml:space="preserve">FCM with digital asset desk; acquisitive parent</t>
  </si>
  <si>
    <t xml:space="preserve">TradFi hiring</t>
  </si>
  <si>
    <t xml:space="preserve">NYC TradFi door</t>
  </si>
  <si>
    <t xml:space="preserve">Marex</t>
  </si>
  <si>
    <t xml:space="preserve">Public (MRX)</t>
  </si>
  <si>
    <t xml:space="preserve">Digital assets desk build-out (verify)</t>
  </si>
  <si>
    <t xml:space="preserve">London hiring</t>
  </si>
  <si>
    <t xml:space="preserve">TP ICAP (Fusion Digital Assets)</t>
  </si>
  <si>
    <t xml:space="preserve">Interdealer broker</t>
  </si>
  <si>
    <t xml:space="preserve">Public (TCAP.L)</t>
  </si>
  <si>
    <t xml:space="preserve">Fusion Digital Assets venue</t>
  </si>
  <si>
    <t xml:space="preserve">London market-structure roles</t>
  </si>
  <si>
    <t xml:space="preserve">Interdealer market structure</t>
  </si>
  <si>
    <t xml:space="preserve">Virtu Financial</t>
  </si>
  <si>
    <t xml:space="preserve">Public (VIRT)</t>
  </si>
  <si>
    <t xml:space="preserve">Crypto MM; EDX backer</t>
  </si>
  <si>
    <t xml:space="preserve">NYC trading</t>
  </si>
  <si>
    <t xml:space="preserve">Citadel Securities</t>
  </si>
  <si>
    <t xml:space="preserve">Office (NYC floor)</t>
  </si>
  <si>
    <t xml:space="preserve">EDX backer; crypto MM expansion reported (verify)</t>
  </si>
  <si>
    <t xml:space="preserve">Elite trading hiring</t>
  </si>
  <si>
    <t xml:space="preserve">EDX Markets</t>
  </si>
  <si>
    <t xml:space="preserve">Exchange (institutional)</t>
  </si>
  <si>
    <t xml:space="preserve">Jersey City, NJ</t>
  </si>
  <si>
    <t xml:space="preserve">Metro (Jersey City)</t>
  </si>
  <si>
    <t xml:space="preserve">Private (consortium)</t>
  </si>
  <si>
    <t xml:space="preserve">Schwab/Citadel/Fidelity-backed non-custodial exchange</t>
  </si>
  <si>
    <t xml:space="preserve">Market-structure pure play</t>
  </si>
  <si>
    <t xml:space="preserve">Analytics / compliance</t>
  </si>
  <si>
    <t xml:space="preserve">Serial buyer: Hexagate, Alterya (2024-25)</t>
  </si>
  <si>
    <t xml:space="preserve">Real corp dev; NYC; MBA-plausible</t>
  </si>
  <si>
    <t xml:space="preserve">Egan (Archetype) backed it early</t>
  </si>
  <si>
    <t xml:space="preserve">TRM Labs</t>
  </si>
  <si>
    <t xml:space="preserve">Chainalysis rival; steady raises</t>
  </si>
  <si>
    <t xml:space="preserve">Growing</t>
  </si>
  <si>
    <t xml:space="preserve">Elliptic</t>
  </si>
  <si>
    <t xml:space="preserve">Compliance analytics</t>
  </si>
  <si>
    <t xml:space="preserve">Kaiko</t>
  </si>
  <si>
    <t xml:space="preserve">Market data</t>
  </si>
  <si>
    <t xml:space="preserve">Paris / NYC</t>
  </si>
  <si>
    <t xml:space="preserve">Bought Vinter (index provider, 2024)</t>
  </si>
  <si>
    <t xml:space="preserve">Data hiring</t>
  </si>
  <si>
    <t xml:space="preserve">INDEX/ETP overlap with your ETC years</t>
  </si>
  <si>
    <t xml:space="preserve">Nansen</t>
  </si>
  <si>
    <t xml:space="preserve">Analytics</t>
  </si>
  <si>
    <t xml:space="preserve">On-chain analytics; acquisitions (verify)</t>
  </si>
  <si>
    <t xml:space="preserve">Messari</t>
  </si>
  <si>
    <t xml:space="preserve">Research / data</t>
  </si>
  <si>
    <t xml:space="preserve">Acquisitive era passed (verify state)</t>
  </si>
  <si>
    <t xml:space="preserve">NYC</t>
  </si>
  <si>
    <t xml:space="preserve">Galaxy balance-sheet portfolio</t>
  </si>
  <si>
    <t xml:space="preserve">Arkham</t>
  </si>
  <si>
    <t xml:space="preserve">Intelligence / exchange</t>
  </si>
  <si>
    <t xml:space="preserve">HQ (verify)</t>
  </si>
  <si>
    <t xml:space="preserve">Intel platform + exchange</t>
  </si>
  <si>
    <t xml:space="preserve">CCData / CryptoCompare</t>
  </si>
  <si>
    <t xml:space="preserve">Benchmark/index data</t>
  </si>
  <si>
    <t xml:space="preserve">ETP index adjacency</t>
  </si>
  <si>
    <t xml:space="preserve">Public (BLK)</t>
  </si>
  <si>
    <t xml:space="preserve">IBIT juggernaut; BUIDL tokenized fund; Securitize stake</t>
  </si>
  <si>
    <t xml:space="preserve">Structured MBA recruiting; digital assets team</t>
  </si>
  <si>
    <t xml:space="preserve">Classic MBA door; NYC</t>
  </si>
  <si>
    <t xml:space="preserve">Tokenization + ETF = both your theses</t>
  </si>
  <si>
    <t xml:space="preserve">Fidelity Digital Assets</t>
  </si>
  <si>
    <t xml:space="preserve">Asset manager / custody</t>
  </si>
  <si>
    <t xml:space="preserve">Boston, MA</t>
  </si>
  <si>
    <t xml:space="preserve">FBTC; institutional custody; EDX backer</t>
  </si>
  <si>
    <t xml:space="preserve">Boston/NYC door</t>
  </si>
  <si>
    <t xml:space="preserve">Grayscale</t>
  </si>
  <si>
    <t xml:space="preserve">Stamford, CT</t>
  </si>
  <si>
    <t xml:space="preserve">Metro (Stamford)</t>
  </si>
  <si>
    <t xml:space="preserve">DCG (IPO filed 2025, verify)</t>
  </si>
  <si>
    <t xml:space="preserve">ETF conversions; product expansion</t>
  </si>
  <si>
    <t xml:space="preserve">Metro-area</t>
  </si>
  <si>
    <t xml:space="preserve">DCG web</t>
  </si>
  <si>
    <t xml:space="preserve">Bitwise</t>
  </si>
  <si>
    <t xml:space="preserve">Bought ETC Group (2024) - YOUR deal; ETF/ETP family</t>
  </si>
  <si>
    <t xml:space="preserve">Growing AM hiring</t>
  </si>
  <si>
    <t xml:space="preserve">Direct: you are literally alumni-adjacent</t>
  </si>
  <si>
    <t xml:space="preserve">They bought your company: warmest cold-call in the set</t>
  </si>
  <si>
    <t xml:space="preserve">ETC Group deal in Deal Evidence tab</t>
  </si>
  <si>
    <t xml:space="preserve">Zurich / NYC</t>
  </si>
  <si>
    <t xml:space="preserve">FalconX deal agreed (verify close)</t>
  </si>
  <si>
    <t xml:space="preserve">Largest crypto ETP issuer; FalconX acquisition announced Oct 2025</t>
  </si>
  <si>
    <t xml:space="preserve">In transition</t>
  </si>
  <si>
    <t xml:space="preserve">Via FalconX web</t>
  </si>
  <si>
    <t xml:space="preserve">CoinShares</t>
  </si>
  <si>
    <t xml:space="preserve">Public (CS.ST)</t>
  </si>
  <si>
    <t xml:space="preserve">Bought Valkyrie US ETFs (2024); serial consolidator</t>
  </si>
  <si>
    <t xml:space="preserve">London/US hiring</t>
  </si>
  <si>
    <t xml:space="preserve">European ETP world = your home turf</t>
  </si>
  <si>
    <t xml:space="preserve">WisdomTree</t>
  </si>
  <si>
    <t xml:space="preserve">Public (WT)</t>
  </si>
  <si>
    <t xml:space="preserve">Crypto ETFs + WisdomTree Prime tokenized platform</t>
  </si>
  <si>
    <t xml:space="preserve">NYC; structured hiring</t>
  </si>
  <si>
    <t xml:space="preserve">NYC door</t>
  </si>
  <si>
    <t xml:space="preserve">Tokenized funds thesis</t>
  </si>
  <si>
    <t xml:space="preserve">VanEck</t>
  </si>
  <si>
    <t xml:space="preserve">Crypto ETFs; Ventures arm (see VC lane)</t>
  </si>
  <si>
    <t xml:space="preserve">NYC; lean team</t>
  </si>
  <si>
    <t xml:space="preserve">Via VanEck Ventures relationship</t>
  </si>
  <si>
    <t xml:space="preserve">ETP background lands here twice</t>
  </si>
  <si>
    <t xml:space="preserve">Cross-listed with VC lane</t>
  </si>
  <si>
    <t xml:space="preserve">Franklin Templeton</t>
  </si>
  <si>
    <t xml:space="preserve">Public (BEN)</t>
  </si>
  <si>
    <t xml:space="preserve">BENJI tokenized money fund; crypto ETFs</t>
  </si>
  <si>
    <t xml:space="preserve">Structured AM hiring</t>
  </si>
  <si>
    <t xml:space="preserve">AM door</t>
  </si>
  <si>
    <t xml:space="preserve">Tokenization pioneer among incumbents</t>
  </si>
  <si>
    <t xml:space="preserve">ProShares</t>
  </si>
  <si>
    <t xml:space="preserve">ETF issuer</t>
  </si>
  <si>
    <t xml:space="preserve">Bethesda, MD</t>
  </si>
  <si>
    <t xml:space="preserve">Futures-based crypto ETFs</t>
  </si>
  <si>
    <t xml:space="preserve">Ark Invest</t>
  </si>
  <si>
    <t xml:space="preserve">Crypto ETFs (with 21Shares); research</t>
  </si>
  <si>
    <t xml:space="preserve">21Shares partnership web</t>
  </si>
  <si>
    <t xml:space="preserve">Hashdex</t>
  </si>
  <si>
    <t xml:space="preserve">Rio de Janeiro, BR</t>
  </si>
  <si>
    <t xml:space="preserve">Brazil crypto ETF leader; US products</t>
  </si>
  <si>
    <t xml:space="preserve">Small; Brazil + NYC</t>
  </si>
  <si>
    <t xml:space="preserve">BRAZIL: crypto ETFs in your home market</t>
  </si>
  <si>
    <t xml:space="preserve">Galaxy Asset Management</t>
  </si>
  <si>
    <t xml:space="preserve">ETFs (with Invesco), funds</t>
  </si>
  <si>
    <t xml:space="preserve">Via Galaxy relationship</t>
  </si>
  <si>
    <t xml:space="preserve">Same Galaxy door</t>
  </si>
  <si>
    <t xml:space="preserve">Cross-listed</t>
  </si>
  <si>
    <t xml:space="preserve">Securitize</t>
  </si>
  <si>
    <t xml:space="preserve">Public (SECZ)</t>
  </si>
  <si>
    <t xml:space="preserve">BUIDL issuer for BlackRock; de-SPAC via Cantor (2026)</t>
  </si>
  <si>
    <t xml:space="preserve">Growing; public company now</t>
  </si>
  <si>
    <t xml:space="preserve">Tokenized funds = thesis center</t>
  </si>
  <si>
    <t xml:space="preserve">Canton Network; Goldman/DTCC-adjacent; big 2025 raise</t>
  </si>
  <si>
    <t xml:space="preserve">NYC; institutional hiring</t>
  </si>
  <si>
    <t xml:space="preserve">NYC TradFi-crypto door</t>
  </si>
  <si>
    <t xml:space="preserve">Post-trade + tokenization</t>
  </si>
  <si>
    <t xml:space="preserve">DTCC Digital Assets</t>
  </si>
  <si>
    <t xml:space="preserve">Post-trade utility</t>
  </si>
  <si>
    <t xml:space="preserve">HQ (+ Jersey City)</t>
  </si>
  <si>
    <t xml:space="preserve">Industry-owned</t>
  </si>
  <si>
    <t xml:space="preserve">Bought Securrency (2023) -&gt; DTCC Digital Assets</t>
  </si>
  <si>
    <t xml:space="preserve">Institutional hiring</t>
  </si>
  <si>
    <t xml:space="preserve">NYC infrastructure door</t>
  </si>
  <si>
    <t xml:space="preserve">Nasdaq (Digital Assets)</t>
  </si>
  <si>
    <t xml:space="preserve">Exchange operator</t>
  </si>
  <si>
    <t xml:space="preserve">Public (NDAQ)</t>
  </si>
  <si>
    <t xml:space="preserve">Custody build paused; index/listing services; Gemini stake</t>
  </si>
  <si>
    <t xml:space="preserve">Listings + market structure</t>
  </si>
  <si>
    <t xml:space="preserve">CME Group</t>
  </si>
  <si>
    <t xml:space="preserve">Derivatives exchange</t>
  </si>
  <si>
    <t xml:space="preserve">Public (CME)</t>
  </si>
  <si>
    <t xml:space="preserve">Crypto futures/options complex; 24/7 push (verify)</t>
  </si>
  <si>
    <t xml:space="preserve">Chicago/NYC door</t>
  </si>
  <si>
    <t xml:space="preserve">Derivatives market structure</t>
  </si>
  <si>
    <t xml:space="preserve">Cboe</t>
  </si>
  <si>
    <t xml:space="preserve">Public (CBOE)</t>
  </si>
  <si>
    <t xml:space="preserve">Bought ErisX (Cboe Digital), then refocused; ETF listings</t>
  </si>
  <si>
    <t xml:space="preserve">Broadhaven's ErisX mandate connection</t>
  </si>
  <si>
    <t xml:space="preserve">SIX Digital Exchange (SDX)</t>
  </si>
  <si>
    <t xml:space="preserve">Zurich, CH</t>
  </si>
  <si>
    <t xml:space="preserve">SIX-owned</t>
  </si>
  <si>
    <t xml:space="preserve">Regulated digital bond venue</t>
  </si>
  <si>
    <t xml:space="preserve">Swiss</t>
  </si>
  <si>
    <t xml:space="preserve">Deutsche Boerse (Crypto Finance)</t>
  </si>
  <si>
    <t xml:space="preserve">Frankfurt / Zurich</t>
  </si>
  <si>
    <t xml:space="preserve">Public (DB1.DE)</t>
  </si>
  <si>
    <t xml:space="preserve">Owns Crypto Finance AG; digital asset push</t>
  </si>
  <si>
    <t xml:space="preserve">European hiring</t>
  </si>
  <si>
    <t xml:space="preserve">Apex Group</t>
  </si>
  <si>
    <t xml:space="preserve">Fund admin</t>
  </si>
  <si>
    <t xml:space="preserve">Bermuda / global</t>
  </si>
  <si>
    <t xml:space="preserve">Bought Tokeny (tokenization, 2023-24)</t>
  </si>
  <si>
    <t xml:space="preserve">Global fund-services hiring</t>
  </si>
  <si>
    <t xml:space="preserve">Fund admin meets tokenization</t>
  </si>
  <si>
    <t xml:space="preserve">Broadridge</t>
  </si>
  <si>
    <t xml:space="preserve">Fintech infra</t>
  </si>
  <si>
    <t xml:space="preserve">Lake Success, NY</t>
  </si>
  <si>
    <t xml:space="preserve">Metro HQ (Lake Success)</t>
  </si>
  <si>
    <t xml:space="preserve">Public (BR)</t>
  </si>
  <si>
    <t xml:space="preserve">DLT repo platform (DLR)</t>
  </si>
  <si>
    <t xml:space="preserve">NY door</t>
  </si>
  <si>
    <t xml:space="preserve">Post-trade DLT</t>
  </si>
  <si>
    <t xml:space="preserve">Chainlink Labs</t>
  </si>
  <si>
    <t xml:space="preserve">Oracle infra</t>
  </si>
  <si>
    <t xml:space="preserve">Remote / global</t>
  </si>
  <si>
    <t xml:space="preserve">CCIP into banks; SWIFT pilots</t>
  </si>
  <si>
    <t xml:space="preserve">Remote hiring</t>
  </si>
  <si>
    <t xml:space="preserve">TradFi integration thesis</t>
  </si>
  <si>
    <t xml:space="preserve">MARA Holdings</t>
  </si>
  <si>
    <t xml:space="preserve">Miner / DAT</t>
  </si>
  <si>
    <t xml:space="preserve">Fort Lauderdale, FL</t>
  </si>
  <si>
    <t xml:space="preserve">Public (MARA)</t>
  </si>
  <si>
    <t xml:space="preserve">Long Ridge $1.5B power buy (2026); serial site M&amp;A</t>
  </si>
  <si>
    <t xml:space="preserve">Corp dev real; energy-heavy</t>
  </si>
  <si>
    <t xml:space="preserve">Riot Platforms</t>
  </si>
  <si>
    <t xml:space="preserve">Miner</t>
  </si>
  <si>
    <t xml:space="preserve">Castle Rock, CO</t>
  </si>
  <si>
    <t xml:space="preserve">Public (RIOT)</t>
  </si>
  <si>
    <t xml:space="preserve">Block Mining buy; AI/HPC pivot pressure</t>
  </si>
  <si>
    <t xml:space="preserve">CleanSpark</t>
  </si>
  <si>
    <t xml:space="preserve">Henderson, NV</t>
  </si>
  <si>
    <t xml:space="preserve">Public (CLSK)</t>
  </si>
  <si>
    <t xml:space="preserve">GRIID buy; serial site acquirer</t>
  </si>
  <si>
    <t xml:space="preserve">Hut 8</t>
  </si>
  <si>
    <t xml:space="preserve">Miner / energy</t>
  </si>
  <si>
    <t xml:space="preserve">Public (HUT)</t>
  </si>
  <si>
    <t xml:space="preserve">American Bitcoin (Trump-affiliated) majority; USBTC merger history</t>
  </si>
  <si>
    <t xml:space="preserve">Core Scientific</t>
  </si>
  <si>
    <t xml:space="preserve">Miner / HPC</t>
  </si>
  <si>
    <t xml:space="preserve">CoreWeave-owned (2026)</t>
  </si>
  <si>
    <t xml:space="preserve">$9B CoreWeave sale</t>
  </si>
  <si>
    <t xml:space="preserve">Absorbed</t>
  </si>
  <si>
    <t xml:space="preserve">TeraWulf / Cipher / IREN</t>
  </si>
  <si>
    <t xml:space="preserve">Miners / HPC</t>
  </si>
  <si>
    <t xml:space="preserve">US various</t>
  </si>
  <si>
    <t xml:space="preserve">Public (WULF/CIFR/IREN)</t>
  </si>
  <si>
    <t xml:space="preserve">AI-HPC conversion wave; site M&amp;A</t>
  </si>
  <si>
    <t xml:space="preserve">Sector context</t>
  </si>
  <si>
    <t xml:space="preserve">Track as sector, not seats</t>
  </si>
  <si>
    <t xml:space="preserve">Strategy (MicroStrategy)</t>
  </si>
  <si>
    <t xml:space="preserve">DAT</t>
  </si>
  <si>
    <t xml:space="preserve">Tysons, VA</t>
  </si>
  <si>
    <t xml:space="preserve">Public (MSTR)</t>
  </si>
  <si>
    <t xml:space="preserve">The original bitcoin treasury; capital-markets machine</t>
  </si>
  <si>
    <t xml:space="preserve">No real corp dev door</t>
  </si>
  <si>
    <t xml:space="preserve">Know the model for interviews</t>
  </si>
  <si>
    <t xml:space="preserve">Twenty One Capital (XXI)</t>
  </si>
  <si>
    <t xml:space="preserve">Public (XXI)</t>
  </si>
  <si>
    <t xml:space="preserve">Tether/SoftBank/Cantor vehicle (2025)</t>
  </si>
  <si>
    <t xml:space="preserve">Metaplanet</t>
  </si>
  <si>
    <t xml:space="preserve">Public (3350.T)</t>
  </si>
  <si>
    <t xml:space="preserve">Japan's bitcoin treasury</t>
  </si>
  <si>
    <t xml:space="preserve">DAT derating</t>
  </si>
  <si>
    <t xml:space="preserve">Uniswap Labs</t>
  </si>
  <si>
    <t xml:space="preserve">DeFi / wallet</t>
  </si>
  <si>
    <t xml:space="preserve">Genie, Crypto: The Game buys; NYC's flagship DeFi company</t>
  </si>
  <si>
    <t xml:space="preserve">NYC; small corp dev</t>
  </si>
  <si>
    <t xml:space="preserve">NYC DeFi flagship</t>
  </si>
  <si>
    <t xml:space="preserve">Phantom</t>
  </si>
  <si>
    <t xml:space="preserve">Wallet</t>
  </si>
  <si>
    <t xml:space="preserve">Bitski buy (2024); big raises; multichain push</t>
  </si>
  <si>
    <t xml:space="preserve">Variant/6MV portfolio overlap</t>
  </si>
  <si>
    <t xml:space="preserve">MetaMask (Consensys)</t>
  </si>
  <si>
    <t xml:space="preserve">Brooklyn, NY</t>
  </si>
  <si>
    <t xml:space="preserve">Consensys</t>
  </si>
  <si>
    <t xml:space="preserve">Via Consensys M&amp;A history</t>
  </si>
  <si>
    <t xml:space="preserve">Via Consensys</t>
  </si>
  <si>
    <t xml:space="preserve">Consensys door</t>
  </si>
  <si>
    <t xml:space="preserve">Exodus</t>
  </si>
  <si>
    <t xml:space="preserve">Omaha, NE</t>
  </si>
  <si>
    <t xml:space="preserve">Public (EXOD)</t>
  </si>
  <si>
    <t xml:space="preserve">NYSE-listed wallet company</t>
  </si>
  <si>
    <t xml:space="preserve">OpenSea</t>
  </si>
  <si>
    <t xml:space="preserve">NFT marketplace</t>
  </si>
  <si>
    <t xml:space="preserve">Miami / remote</t>
  </si>
  <si>
    <t xml:space="preserve">Gem buy era; SEA token era (verify)</t>
  </si>
  <si>
    <t xml:space="preserve">Sector faded</t>
  </si>
  <si>
    <t xml:space="preserve">Magic Eden</t>
  </si>
  <si>
    <t xml:space="preserve">NFT / trading app</t>
  </si>
  <si>
    <t xml:space="preserve">Slingshot buy (2024)</t>
  </si>
  <si>
    <t xml:space="preserve">6MV portfolio</t>
  </si>
  <si>
    <t xml:space="preserve">Offchain Labs (Arbitrum)</t>
  </si>
  <si>
    <t xml:space="preserve">L2 developer</t>
  </si>
  <si>
    <t xml:space="preserve">Princeton, NJ</t>
  </si>
  <si>
    <t xml:space="preserve">Metro (Princeton NJ)</t>
  </si>
  <si>
    <t xml:space="preserve">Prysmatic buy (2022); Arbitrum ecosystem</t>
  </si>
  <si>
    <t xml:space="preserve">Eigen Labs</t>
  </si>
  <si>
    <t xml:space="preserve">Restaking infra</t>
  </si>
  <si>
    <t xml:space="preserve">Seattle, WA</t>
  </si>
  <si>
    <t xml:space="preserve">Rio buy (2024)</t>
  </si>
  <si>
    <t xml:space="preserve">Alchemy</t>
  </si>
  <si>
    <t xml:space="preserve">Dev infra</t>
  </si>
  <si>
    <t xml:space="preserve">Serial small buys (HeyMint etc.)</t>
  </si>
  <si>
    <t xml:space="preserve">Mysten Labs (Sui)</t>
  </si>
  <si>
    <t xml:space="preserve">L1 developer</t>
  </si>
  <si>
    <t xml:space="preserve">Ecosystem buys (verify)</t>
  </si>
  <si>
    <t xml:space="preserve">Goldman Sachs (Digital Assets)</t>
  </si>
  <si>
    <t xml:space="preserve">Bank</t>
  </si>
  <si>
    <t xml:space="preserve">Public (GS)</t>
  </si>
  <si>
    <t xml:space="preserve">GS DAP spun out (Pontes? verify name); tokenization pilots; crypto desk</t>
  </si>
  <si>
    <t xml:space="preserve">Classic MBA machine</t>
  </si>
  <si>
    <t xml:space="preserve">OCR-adjacent + digital assets team</t>
  </si>
  <si>
    <t xml:space="preserve">Also on your BB League Table</t>
  </si>
  <si>
    <t xml:space="preserve">JPMorgan (Kinexys)</t>
  </si>
  <si>
    <t xml:space="preserve">Public (JPM)</t>
  </si>
  <si>
    <t xml:space="preserve">Kinexys (ex-Onyx): JPMD deposit token, tokenized repo</t>
  </si>
  <si>
    <t xml:space="preserve">OCR-adjacent + Kinexys team</t>
  </si>
  <si>
    <t xml:space="preserve">Deposit tokens vs stablecoins = interview gold</t>
  </si>
  <si>
    <t xml:space="preserve">BNY (Digital Assets)</t>
  </si>
  <si>
    <t xml:space="preserve">Custodian bank</t>
  </si>
  <si>
    <t xml:space="preserve">Public (BK)</t>
  </si>
  <si>
    <t xml:space="preserve">Crypto custody live; stablecoin reserve services (Circle)</t>
  </si>
  <si>
    <t xml:space="preserve">Custody + reserves = market plumbing</t>
  </si>
  <si>
    <t xml:space="preserve">State Street Digital</t>
  </si>
  <si>
    <t xml:space="preserve">Public (STT)</t>
  </si>
  <si>
    <t xml:space="preserve">Digital asset custody build</t>
  </si>
  <si>
    <t xml:space="preserve">Citi (Token Services)</t>
  </si>
  <si>
    <t xml:space="preserve">Public (C)</t>
  </si>
  <si>
    <t xml:space="preserve">Citi Token Services; tokenized deposits</t>
  </si>
  <si>
    <t xml:space="preserve">Standard Chartered</t>
  </si>
  <si>
    <t xml:space="preserve">Office (Americas HQ)</t>
  </si>
  <si>
    <t xml:space="preserve">Public (STAN.L)</t>
  </si>
  <si>
    <t xml:space="preserve">Zodia Custody/Markets builder; crypto desk; Zodia buyout 2026</t>
  </si>
  <si>
    <t xml:space="preserve">BNP / SocGen Forge</t>
  </si>
  <si>
    <t xml:space="preserve">Banks</t>
  </si>
  <si>
    <t xml:space="preserve">Office (NY branches)</t>
  </si>
  <si>
    <t xml:space="preserve">Public</t>
  </si>
  <si>
    <t xml:space="preserve">SocGen Forge: EURCV stablecoin, digital bonds</t>
  </si>
  <si>
    <t xml:space="preserve">Paris</t>
  </si>
  <si>
    <t xml:space="preserve">Euro-stablecoin angle</t>
  </si>
  <si>
    <t xml:space="preserve">Santander / Openbank</t>
  </si>
  <si>
    <t xml:space="preserve">Madrid, ES</t>
  </si>
  <si>
    <t xml:space="preserve">Public (SAN)</t>
  </si>
  <si>
    <t xml:space="preserve">Openbank crypto trading launch (2025)</t>
  </si>
  <si>
    <t xml:space="preserve">BBVA</t>
  </si>
  <si>
    <t xml:space="preserve">Public (BBVA)</t>
  </si>
  <si>
    <t xml:space="preserve">Swiss + Spain crypto custody/trading</t>
  </si>
  <si>
    <t xml:space="preserve">HSBC (Orion)</t>
  </si>
  <si>
    <t xml:space="preserve">Public (HSBA.L)</t>
  </si>
  <si>
    <t xml:space="preserve">Orion digital bonds; gold token</t>
  </si>
  <si>
    <t xml:space="preserve">DBS Digital Exchange</t>
  </si>
  <si>
    <t xml:space="preserve">Public (D05.SI)</t>
  </si>
  <si>
    <t xml:space="preserve">Full-stack bank crypto exchange</t>
  </si>
  <si>
    <t xml:space="preserve">Erebor</t>
  </si>
  <si>
    <t xml:space="preserve">Crypto bank (new)</t>
  </si>
  <si>
    <t xml:space="preserve">Columbus, OH / SF</t>
  </si>
  <si>
    <t xml:space="preserve">Private (charter pending, verify)</t>
  </si>
  <si>
    <t xml:space="preserve">Founders Fund/Luckey-backed bank for crypto+tech (2025)</t>
  </si>
  <si>
    <t xml:space="preserve">Watch: new-bank build hiring</t>
  </si>
  <si>
    <t xml:space="preserve">Charter-era startup bank = your regulated-platform story</t>
  </si>
  <si>
    <t xml:space="preserve">Custodia Bank</t>
  </si>
  <si>
    <t xml:space="preserve">Cheyenne, WY</t>
  </si>
  <si>
    <t xml:space="preserve">Fed master-account fight; stablecoin pilot</t>
  </si>
  <si>
    <t xml:space="preserve">Compiled Aug 22, 2026. Src K rows carry a Jan 2026 information horizon: deal states, tickers, org structures, and NYC-office footprints MUST be verified before any conversation. 'n/a' or '-' means not confidently known, not zero. Firms marked 'On working tab' are worked on the Corp Dev Targets tab. Priorities: S1 pursue, S2 engage, S3 track, Monitor watch, Exclude avoid.</t>
  </si>
  <si>
    <t xml:space="preserve">Venture / VC Targets</t>
  </si>
  <si>
    <t xml:space="preserve">Verified against the Aug 2026 NYC fund research  |  Databases: VC Fund Database (NYC detail) + VC Universe (global)  |  CVF opens ~Aug 28</t>
  </si>
  <si>
    <t xml:space="preserve">Fund</t>
  </si>
  <si>
    <t xml:space="preserve">Type</t>
  </si>
  <si>
    <t xml:space="preserve">Fund I $175M+ (Jun 2025); stablecoins, payments, tokenization; leads Will Nuelle and Mike Giampapa</t>
  </si>
  <si>
    <t xml:space="preserve">Small team; platform hires</t>
  </si>
  <si>
    <t xml:space="preserve">~$500M AUM; the single best stablecoins/payments thesis fit in NYC; capital markets DNA</t>
  </si>
  <si>
    <t xml:space="preserve">Small team; seed/A checks $500K-4M</t>
  </si>
  <si>
    <t xml:space="preserve">Newsletter, Layer One podcast, Stablecon conference</t>
  </si>
  <si>
    <t xml:space="preserve">Fund III $100M+ (Sep 2025); stablecoins, payments infra, crypto x AI; Ash Egan, Katherine Wu</t>
  </si>
  <si>
    <t xml:space="preserve">Concentrated team; occasional roles</t>
  </si>
  <si>
    <t xml:space="preserve">Variant 4 $222M (Jun 2026); crypto x AI 'autonomy' thesis; Jesse Walden, Li Jin; Brooklyn</t>
  </si>
  <si>
    <t xml:space="preserve">Small team</t>
  </si>
  <si>
    <t xml:space="preserve">$550M+ raised across recent vehicles; Brooklyn RIA; venture plus liquid; market-structure focus</t>
  </si>
  <si>
    <t xml:space="preserve">Small team; has hired early-career</t>
  </si>
  <si>
    <t xml:space="preserve">Fund II $75M (late 2024); pre-seed lead checks; fundamentals-driven; Evan Fisher (ex-Insight)</t>
  </si>
  <si>
    <t xml:space="preserve">Small; hires early-career</t>
  </si>
  <si>
    <t xml:space="preserve">$30M debut fund (Oct 2024); ex-Circle Ventures team (Lonergan, Lopez); stablecoin/tokenization thesis</t>
  </si>
  <si>
    <t xml:space="preserve">Tiny team; accessible</t>
  </si>
  <si>
    <t xml:space="preserve">Fund II $145M; consumer and Solana-weighted; Mike Dudas (The Block co-founder), Serge Kassardjian</t>
  </si>
  <si>
    <t xml:space="preserve">~$300M AUM; Travis Scher (ex-DCG), Glenn Hutchins; stablecoin payments and interoperability thesis</t>
  </si>
  <si>
    <t xml:space="preserve">Small; has advertised associate roles</t>
  </si>
  <si>
    <t xml:space="preserve">Scher podcasts; watch for openings</t>
  </si>
  <si>
    <t xml:space="preserve">Fund IV $650M (Feb 2026); RWA and stablecoin pivot; ~$4B AUM; note DOJ/Tornado Cash caveat on one GP</t>
  </si>
  <si>
    <t xml:space="preserve">Small NYC bench; occasional roles</t>
  </si>
  <si>
    <t xml:space="preserve">Small; has run analyst and fellow programs</t>
  </si>
  <si>
    <t xml:space="preserve">Backed both Talos and Coin Metrics; Boston HQ (not NYC); founders Nic Carter, Matt Walsh</t>
  </si>
  <si>
    <t xml:space="preserve">Small partnership; occasional fellows</t>
  </si>
  <si>
    <t xml:space="preserve">Post-close Talos angle; engage On The Brink first</t>
  </si>
  <si>
    <t xml:space="preserve">Most active CVC in crypto; sits inside the corp dev org; SF/remote</t>
  </si>
  <si>
    <t xml:space="preserve">No standalone MBA hiring; enter via Coinbase</t>
  </si>
  <si>
    <t xml:space="preserve">Standalone fund beside the most acquisitive corp dev team in crypto; SF/remote</t>
  </si>
  <si>
    <t xml:space="preserve">Tiny team</t>
  </si>
  <si>
    <t xml:space="preserve">Ecosystem network; double-counts with corp dev track</t>
  </si>
  <si>
    <t xml:space="preserve">Oldest dedicated crypto fund; venture plus liquid; Menlo Park (not NYC)</t>
  </si>
  <si>
    <t xml:space="preserve">NYC market-structure/DeFi institutional fund (venture + liquid); Ben Forman (ex-KKR); ~$1B+ AUM reported</t>
  </si>
  <si>
    <t xml:space="preserve">Small institutional team</t>
  </si>
  <si>
    <t xml:space="preserve">NYC network; research engagement; verify current roster</t>
  </si>
  <si>
    <t xml:space="preserve">The reference crypto fund; Fund III $850M (2024); research and policy powerhouse; Matt Huang</t>
  </si>
  <si>
    <t xml:space="preserve">Rare MBA entry; fellowships/research exist</t>
  </si>
  <si>
    <t xml:space="preserve">Research-first engagement; West Coast trips</t>
  </si>
  <si>
    <t xml:space="preserve">$1.5B raised (2022); Katie Haun (ex-a16z, ex-DOJ); policy-forward</t>
  </si>
  <si>
    <t xml:space="preserve">Policy/regulatory events; research</t>
  </si>
  <si>
    <t xml:space="preserve">Developer-data-driven; annual Developer Report is an industry standard; ~$1B across funds</t>
  </si>
  <si>
    <t xml:space="preserve">Developer Report as the conversation entry</t>
  </si>
  <si>
    <t xml:space="preserve">Fund III $430M (2022); Solana/DePIN theses; the most prolific public thesis writers</t>
  </si>
  <si>
    <t xml:space="preserve">Writing-first outreach; Breakpoint</t>
  </si>
  <si>
    <t xml:space="preserve">Coinbase, Robinhood, Nubank, Revolut backer; fintech-crypto crossover royalty; Micky Malka</t>
  </si>
  <si>
    <t xml:space="preserve">Small partnership; MBA-plausible</t>
  </si>
  <si>
    <t xml:space="preserve">Warm intros via the fintech web; Brazil/Nubank angle</t>
  </si>
  <si>
    <t xml:space="preserve">Hans Morris (ex-Visa president); payments and capital-markets fintech; selective crypto</t>
  </si>
  <si>
    <t xml:space="preserve">MBA-friendly; NYC; hires MBAs</t>
  </si>
  <si>
    <t xml:space="preserve">NYC fintech network; direct outreach viable</t>
  </si>
  <si>
    <t xml:space="preserve">Capital markets infrastructure thesis with bank strategic LPs; digital-asset market infra bets; Mark Beeston (ex-ICAP)</t>
  </si>
  <si>
    <t xml:space="preserve">Small; MBA-legible</t>
  </si>
  <si>
    <t xml:space="preserve">Market-structure content; NYC + London network</t>
  </si>
  <si>
    <t xml:space="preserve">Quiet NYC crypto fund; early Paxos and Lukka backers; Emil Woods</t>
  </si>
  <si>
    <t xml:space="preserve">Small partnership</t>
  </si>
  <si>
    <t xml:space="preserve">NYC network play; verify current activity</t>
  </si>
  <si>
    <t xml:space="preserve">$560M Fund I (2022); technical/cryptography depth on an institutional platform; Stefan Cohen</t>
  </si>
  <si>
    <t xml:space="preserve">Institutional path; associate-plausible</t>
  </si>
  <si>
    <t xml:space="preserve">Crypto Fund 5 $2.2B (May 2026), $9.8B total; NYC office; Fund 5 thesis: stablecoins, tokenization, perps, prediction markets, AI agents; CSX accelerator</t>
  </si>
  <si>
    <t xml:space="preserve">Competitive; active recruiting incl. non-investing platform roles</t>
  </si>
  <si>
    <t xml:space="preserve">NYC office + CSX events; Chris Dixon (Columbia BA/MA) is the alumni hook</t>
  </si>
  <si>
    <t xml:space="preserve">NYC office; backed Bridge (sold to Stripe, $1.1B) - a live stablecoin credential; deep fintech bench</t>
  </si>
  <si>
    <t xml:space="preserve">Structured associate hiring exists; competitive</t>
  </si>
  <si>
    <t xml:space="preserve">NYC office network; fintech partners; verify current crypto appetite</t>
  </si>
  <si>
    <t xml:space="preserve">Keep this lane in quiet channels during the EB cycle: CVF, Galaxy and Broadhaven relationships, and CVC coffees. Never signal the venture endgame in Tier 1 IB conversations. Non-NYC entries (Castle Island, Pantera, Kraken/Coinbase Ventures) are kept for relationship reasons; the full NYC universe is on the VC Fund Database tab. Rows 21-30 added Aug 22, 2026 from general knowledge (Jan 2026 horizon), not the verified research - verify before citing. Global fund universe on the VC Universe tab. Rows 31-32 (a16z crypto, Index Ventures) added for NYC-office reachability.</t>
  </si>
  <si>
    <t xml:space="preserve">NYC Crypto VC Fund Database: Full Detail (verified Aug 2026)</t>
  </si>
  <si>
    <t xml:space="preserve">Every fund from the Aug 22, 2026 deep research at full fidelity: complete fund lineages, founders, LPs, and 2025-26 deal activity  |  Sections: NYC crypto-native, bicoastal, generalists, corporate/metro, excluded</t>
  </si>
  <si>
    <t xml:space="preserve">HQ / Main Location</t>
  </si>
  <si>
    <t xml:space="preserve">Founded</t>
  </si>
  <si>
    <t xml:space="preserve">Founders &amp; Key People</t>
  </si>
  <si>
    <t xml:space="preserve">Fund History (all vehicles)</t>
  </si>
  <si>
    <t xml:space="preserve">Strategy &amp; Checks</t>
  </si>
  <si>
    <t xml:space="preserve">Thesis / Focus</t>
  </si>
  <si>
    <t xml:space="preserve">Portfolio</t>
  </si>
  <si>
    <t xml:space="preserve">Recent Activity 2025-26</t>
  </si>
  <si>
    <t xml:space="preserve">LPs / Backers</t>
  </si>
  <si>
    <t xml:space="preserve">Engagement Hooks</t>
  </si>
  <si>
    <t xml:space="preserve">Notes / Caveats</t>
  </si>
  <si>
    <t xml:space="preserve">Active</t>
  </si>
  <si>
    <t xml:space="preserve">2015</t>
  </si>
  <si>
    <t xml:space="preserve">Jake Brukhman (Managing Partner/CEO), Aleksandr Bulkin (co-founder), Alex Felix (Managing Partner/CIO); registered investment adviser</t>
  </si>
  <si>
    <t xml:space="preserve">$550M+ raised over 18 months across vehicles: $158M early-stage fund (2023, above its $125M target); Ventures I $300M (2022, Series A focus); Seed IV; deploying from Fund III and other vehicles in 2025-26</t>
  </si>
  <si>
    <t xml:space="preserve">Pre-seed through growth; equity + liquid tokens; network lifecycle investing approach</t>
  </si>
  <si>
    <t xml:space="preserve">DeFi, infrastructure, AI agents, market structure, stablecoins/payments</t>
  </si>
  <si>
    <t xml:space="preserve">Solana, Polygon, Dapper Labs, Blockdaemon</t>
  </si>
  <si>
    <t xml:space="preserve">Recent deals: Veda, Dakota, Ether.fi, Irys, Kadena, Trace Finance, Pluralis</t>
  </si>
  <si>
    <t xml:space="preserve">Not disclosed</t>
  </si>
  <si>
    <t xml:space="preserve">Active research and publishing, partner podcasts, regulatory engagement, careers page</t>
  </si>
  <si>
    <t xml:space="preserve">RIA registration is an institutional-credibility marker in this set</t>
  </si>
  <si>
    <t xml:space="preserve">2021</t>
  </si>
  <si>
    <t xml:space="preserve">Ash Egan (Founder/GP; co-launched ConsenSys Ventures, ex-Accomplice); Katherine Wu (ex-Coinbase Ventures)</t>
  </si>
  <si>
    <t xml:space="preserve">$55M debut fund (2021); Fund II $155M (2022); Fund III $100M+ total commitments (Sep 2025); ~$350M reported assets</t>
  </si>
  <si>
    <t xml:space="preserve">Concentrated, high-conviction first check to Series A; equity + liquid positions (holds Solana and Ethereum)</t>
  </si>
  <si>
    <t xml:space="preserve">Onchain social, stablecoins, payments infrastructure, modular stacks, crypto x AI, DePIN</t>
  </si>
  <si>
    <t xml:space="preserve">Privy (acquired by Stripe), Rated, US Bitcoin Corp; Egan backed Chainalysis pre-Archetype</t>
  </si>
  <si>
    <t xml:space="preserve">Fund III close Sep 2025</t>
  </si>
  <si>
    <t xml:space="preserve">Pensions, endowments, sovereign wealth funds, funds of funds, family offices</t>
  </si>
  <si>
    <t xml:space="preserve">Archebyte podcast, NYC in-person events, content platform</t>
  </si>
  <si>
    <t xml:space="preserve">Egan frames the deliberately small Fund III as buying extreme selectivity and conviction per team</t>
  </si>
  <si>
    <t xml:space="preserve">Brooklyn, NY (1027 Grand St)</t>
  </si>
  <si>
    <t xml:space="preserve">2020</t>
  </si>
  <si>
    <t xml:space="preserve">Jesse Walden (ex-a16z crypto); Li Jin (co-GP; her Atelier Ventures merged in)</t>
  </si>
  <si>
    <t xml:space="preserve">$22.5M (2020); $110M (2021); Fund III $450M total, split $150M seed + $300M opportunity (2022); Variant 4 $222M (Jun 2026)</t>
  </si>
  <si>
    <t xml:space="preserve">Pre-seed/seed; equity + tokens</t>
  </si>
  <si>
    <t xml:space="preserve">Ownership economy; Variant 4 reframed around autonomy (crypto x AI)</t>
  </si>
  <si>
    <t xml:space="preserve">Uniswap, Phantom, Magic Eden, Mirror, Zora, Foundation, Flashbots, Blockaid</t>
  </si>
  <si>
    <t xml:space="preserve">Variant 4 close Jun 2026</t>
  </si>
  <si>
    <t xml:space="preserve">Heavy research and writing cadence; thesis essays</t>
  </si>
  <si>
    <t xml:space="preserve">Walden's view: within four years crypto investor will be as generic a label as internet investor</t>
  </si>
  <si>
    <t xml:space="preserve">Fund I 2024-25; platform investing since 2018</t>
  </si>
  <si>
    <t xml:space="preserve">Will Nuelle and Mike Giampapa (fund leads); affiliate of Galaxy (Nasdaq: GLXY; Mike Novogratz)</t>
  </si>
  <si>
    <t xml:space="preserve">Fund I $175M+ final close (Jun 2025), above its $150M target; first external venture capital after 120+ balance-sheet investments since 2018</t>
  </si>
  <si>
    <t xml:space="preserve">Early-stage equity plus co-investment; ~30 companies; $3-5M checks</t>
  </si>
  <si>
    <t xml:space="preserve">Stablecoins, payments, tokenization, and supporting infrastructure</t>
  </si>
  <si>
    <t xml:space="preserve">Ethena, Monad, Plume, 1Money, DoubleZero, Citrea, Arch Lending; balance-sheet legacy: Pyth, Chaos Labs, Fireblocks, Messari</t>
  </si>
  <si>
    <t xml:space="preserve">Deploying Fund I</t>
  </si>
  <si>
    <t xml:space="preserve">Institutional investors, family offices, fund-of-funds, strategic corporates (names undisclosed)</t>
  </si>
  <si>
    <t xml:space="preserve">Galaxy Research; platform team; ~550-person institutional footprint</t>
  </si>
  <si>
    <t xml:space="preserve">Exits include Tagomi and Bison Trails, both to Coinbase; Novogratz cast the above-target close in a hard market as proof of edge</t>
  </si>
  <si>
    <t xml:space="preserve">Mike Dudas (co-founder of The Block), Serge Kassardjian</t>
  </si>
  <si>
    <t xml:space="preserve">Fund II $145M (~2022)</t>
  </si>
  <si>
    <t xml:space="preserve">Pre-seed to Series A; equity + tokens; checks up to $4-5M; roughly one deal per month; ~50% Solana-weighted</t>
  </si>
  <si>
    <t xml:space="preserve">Consumer crypto, apps, infrastructure, gaming, media</t>
  </si>
  <si>
    <t xml:space="preserve">Magic Eden, io.net, Livepeer, Pump.fun</t>
  </si>
  <si>
    <t xml:space="preserve">Recent: Veera, worm.wtf, Inversion</t>
  </si>
  <si>
    <t xml:space="preserve">LPs included Galaxy Vision Hill; Marc Andreessen, Chris Dixon, and Bill Ackman invested personally</t>
  </si>
  <si>
    <t xml:space="preserve">Dudas is highly public on X; Breakpoint keynotes</t>
  </si>
  <si>
    <t xml:space="preserve">Placeholder</t>
  </si>
  <si>
    <t xml:space="preserve">Active (slower)</t>
  </si>
  <si>
    <t xml:space="preserve">2017</t>
  </si>
  <si>
    <t xml:space="preserve">Chris Burniske, Joel Monegro (both ex-USV lineage); Brad Burnham (venture partner); Mario Laul (research)</t>
  </si>
  <si>
    <t xml:space="preserve">~$150M managed</t>
  </si>
  <si>
    <t xml:space="preserve">Venture + public-market liquid hybrid; long-hold; 75+ investments</t>
  </si>
  <si>
    <t xml:space="preserve">Thesis-driven protocol investing</t>
  </si>
  <si>
    <t xml:space="preserve">Ethereum, Solana, Celestia, Monad, Aleo, Eclipse, Backpack, Squads, Tensor, Jito</t>
  </si>
  <si>
    <t xml:space="preserve">1-2 new deals per year recently</t>
  </si>
  <si>
    <t xml:space="preserve">Extensive public research library; partner podcasts; Burniske's cryptoasset valuation frameworks</t>
  </si>
  <si>
    <t xml:space="preserve">Iconic thesis shop; deployment pace is the tradeoff</t>
  </si>
  <si>
    <t xml:space="preserve">Hivemind Capital</t>
  </si>
  <si>
    <t xml:space="preserve">Active (hybrid)</t>
  </si>
  <si>
    <t xml:space="preserve">Matt Zhang (ex-Citi head of structured products trading); Richard Skeet (London; co-lead, runs the liquid platform)</t>
  </si>
  <si>
    <t xml:space="preserve">Launched with a $1.5B multi-strategy mandate (venture, liquid staking/yield, trading, play-to-earn gaming); Liquid Opportunity Fund $300M target (2023); Digital Culture Fund ~$50M target (2024, digital art)</t>
  </si>
  <si>
    <t xml:space="preserve">Hybrid venture + liquid + trading; real venture sleeve</t>
  </si>
  <si>
    <t xml:space="preserve">Multi-strategy digital assets</t>
  </si>
  <si>
    <t xml:space="preserve">Varied</t>
  </si>
  <si>
    <t xml:space="preserve">Institutional profile; less founder-facing</t>
  </si>
  <si>
    <t xml:space="preserve">NYC HQ but liquid investing reports to London</t>
  </si>
  <si>
    <t xml:space="preserve">Blockchange Ventures</t>
  </si>
  <si>
    <t xml:space="preserve">Fall 2017</t>
  </si>
  <si>
    <t xml:space="preserve">Ken Seiff (MP; ex-Bluefly, Beanstalk Ventures); Caroline Kassie; Dr. Gavin Wood (part-time GP); Rob Schmults (GP); Janice Chan (CFO); Jon Freedman (COO/CLO)</t>
  </si>
  <si>
    <t xml:space="preserve">Multiple funds across the Fund I to IV era</t>
  </si>
  <si>
    <t xml:space="preserve">Early-stage; equity + tokens</t>
  </si>
  <si>
    <t xml:space="preserve">Base layers and L1s</t>
  </si>
  <si>
    <t xml:space="preserve">Solana, Polkadot, Near, Flow, Dapper Labs, Figure, Axelar, Arbitrum, Zama</t>
  </si>
  <si>
    <t xml:space="preserve">~62 active positions; 7 new investments in the trailing 12 months as of mid-2026</t>
  </si>
  <si>
    <t xml:space="preserve">Seiff accessible via podcasts (The Defiant)</t>
  </si>
  <si>
    <t xml:space="preserve">Gavin Wood's part-time GP role is an unusual signal</t>
  </si>
  <si>
    <t xml:space="preserve">Travis Scher (ex-DCG VP of investments), James Hutchins (ex-Coatue research), Glenn Hutchins (Silver Lake co-founder; Chairman)</t>
  </si>
  <si>
    <t xml:space="preserve">Fund I ~$72M debut; Fund II $125M (2022); ~$300M AUM</t>
  </si>
  <si>
    <t xml:space="preserve">Early-stage; $250K-3M initial checks; 30-40 companies per fund; equity + tokens</t>
  </si>
  <si>
    <t xml:space="preserve">Interoperability (network of networks), DeFi, stablecoin payments, onchain neobanking</t>
  </si>
  <si>
    <t xml:space="preserve">Axelar, BCB Group, Dapper Labs, Flow, Immunefi, Polymer, Figure, Ether.fi, Utila</t>
  </si>
  <si>
    <t xml:space="preserve">Scher is public via podcasts and X; the firm has advertised associate hiring</t>
  </si>
  <si>
    <t xml:space="preserve">The associate-hiring history makes this a live seat to watch, not just a coffee</t>
  </si>
  <si>
    <t xml:space="preserve">2022</t>
  </si>
  <si>
    <t xml:space="preserve">Evan Fisher (ex-Insight Partners, ex-Goldman; Forbes 30 Under 30; Michigan Ross BBA '17); Catrina Wang (GP)</t>
  </si>
  <si>
    <t xml:space="preserve">Fund I $35-40M (2022); Fund II $75M closed late 2024, oversubscribed against ~$90M of interest</t>
  </si>
  <si>
    <t xml:space="preserve">Pre-seed lead investor; equity + tokens</t>
  </si>
  <si>
    <t xml:space="preserve">Fundamentals-driven protocol and business-model thesis; current theme: crypto rails for latent markets</t>
  </si>
  <si>
    <t xml:space="preserve">Uranium Digital</t>
  </si>
  <si>
    <t xml:space="preserve">Fund II deploying</t>
  </si>
  <si>
    <t xml:space="preserve">Backers include Chris Dixon and Marc Andreessen personally, and KKR's Henry Kravis</t>
  </si>
  <si>
    <t xml:space="preserve">Fisher's writing and podcasts; hires early-career</t>
  </si>
  <si>
    <t xml:space="preserve">The most MBA-legible investment framing in the NYC set</t>
  </si>
  <si>
    <t xml:space="preserve">Reciprocal Ventures</t>
  </si>
  <si>
    <t xml:space="preserve">New York, NY (24 W 25th St)</t>
  </si>
  <si>
    <t xml:space="preserve">Active (raising III)</t>
  </si>
  <si>
    <t xml:space="preserve">2016</t>
  </si>
  <si>
    <t xml:space="preserve">Michael Steinberg (ex-SAC/Point72 PM); Craig Burel (GP)</t>
  </si>
  <si>
    <t xml:space="preserve">Fund II $68.5M (2022); Fund III raising up to $100M, in market from early 2025; ~$201M AUM</t>
  </si>
  <si>
    <t xml:space="preserve">DeFi, institutional capital markets, web3 stack, payments</t>
  </si>
  <si>
    <t xml:space="preserve">Solana (seed), The Graph, TrueX, Coinflow Labs</t>
  </si>
  <si>
    <t xml:space="preserve">Fund III in market</t>
  </si>
  <si>
    <t xml:space="preserve">Diffusion thesis research; partner writing</t>
  </si>
  <si>
    <t xml:space="preserve">M31 Capital</t>
  </si>
  <si>
    <t xml:space="preserve">Active (liquid-heavy)</t>
  </si>
  <si>
    <t xml:space="preserve">Nathan Montone; offices in Scottsdale, SF, Shanghai, Seoul, Delhi, San Juan</t>
  </si>
  <si>
    <t xml:space="preserve">~$100M Web3 Opportunity Fund (Oct 2022, liquid venture); Bitcoin fund; DeFi fund; M31 Ventures arm</t>
  </si>
  <si>
    <t xml:space="preserve">Multi-strategy; venture arm invests equity + tokens</t>
  </si>
  <si>
    <t xml:space="preserve">Broad web3</t>
  </si>
  <si>
    <t xml:space="preserve">Huddle01, Euler, Elsa</t>
  </si>
  <si>
    <t xml:space="preserve">Latest venture deal: Euler (Jul 2025)</t>
  </si>
  <si>
    <t xml:space="preserve">Modest venture cadence</t>
  </si>
  <si>
    <t xml:space="preserve">Hybrid and liquid-heavy; venture is a sleeve</t>
  </si>
  <si>
    <t xml:space="preserve">Dragonfly</t>
  </si>
  <si>
    <t xml:space="preserve">NYC + Singapore (legal HQ Oakland/SF per some filings)</t>
  </si>
  <si>
    <t xml:space="preserve">Major office</t>
  </si>
  <si>
    <t xml:space="preserve">2018</t>
  </si>
  <si>
    <t xml:space="preserve">Founded by Alex Pack and Bo Feng; Haseeb Qureshi (Managing Partner); GPs Rob Hadick, Tom Schmidt</t>
  </si>
  <si>
    <t xml:space="preserve">Fund IV $650M (Feb 2026), 30% above its $500M target, matching Fund III (2022); ~$4B total AUM; acquired Metastable, one of the oldest crypto hedge funds</t>
  </si>
  <si>
    <t xml:space="preserve">Seed through Series B+; $3-30M checks; equity + liquid</t>
  </si>
  <si>
    <t xml:space="preserve">2025-26 pivot toward financial infrastructure, stablecoins, real-world assets, onchain finance</t>
  </si>
  <si>
    <t xml:space="preserve">Polymarket, Ethena, Rain, Mesh, Avalanche, Agora</t>
  </si>
  <si>
    <t xml:space="preserve">Fund IV close Feb 2026</t>
  </si>
  <si>
    <t xml:space="preserve">The Chopping Block podcast; research</t>
  </si>
  <si>
    <t xml:space="preserve">Caveat: DOJ signaled possible charges in 2025 tied to a 2020 Tornado Cash investment involving GP Tom Schmidt; Qureshi noted the raise landed amid deep bear-market gloom</t>
  </si>
  <si>
    <t xml:space="preserve">Menlo Park HQ; NYC office</t>
  </si>
  <si>
    <t xml:space="preserve">Chris Dixon (founder/lead; Columbia BA and MA in philosophy, HBS MBA); GPs Ali Yahya, Guy Wuollet, Eddy Lazzarin (newly promoted)</t>
  </si>
  <si>
    <t xml:space="preserve">Crypto Fund 5 $2.2B (May 2026); $9.8B total crypto capital</t>
  </si>
  <si>
    <t xml:space="preserve">Seed to growth; $10-60M checks; equity + tokens</t>
  </si>
  <si>
    <t xml:space="preserve">Fund 5 targets stablecoins, tokenization, perpetual futures, prediction markets, and AI agents; deep CLARITY Act and GENIUS Act policy engagement</t>
  </si>
  <si>
    <t xml:space="preserve">Coinbase, Uniswap, OpenSea, Solana</t>
  </si>
  <si>
    <t xml:space="preserve">Crypto Fund 5 close May 2026</t>
  </si>
  <si>
    <t xml:space="preserve">Crypto Startup School accelerator; a16z crypto research; State of Crypto report; active recruiting</t>
  </si>
  <si>
    <t xml:space="preserve">Highly competitive; the Dixon Columbia tie is a legitimate hook</t>
  </si>
  <si>
    <t xml:space="preserve">1kx</t>
  </si>
  <si>
    <t xml:space="preserve">Berlin (some databases list New York)</t>
  </si>
  <si>
    <t xml:space="preserve">Partners only</t>
  </si>
  <si>
    <t xml:space="preserve">2017-18</t>
  </si>
  <si>
    <t xml:space="preserve">Lasse Clausen, Christopher Heymann</t>
  </si>
  <si>
    <t xml:space="preserve">$75M fund closed Mar 2024</t>
  </si>
  <si>
    <t xml:space="preserve">Seed/A; token-network specialist; equity + tokens</t>
  </si>
  <si>
    <t xml:space="preserve">Token networks</t>
  </si>
  <si>
    <t xml:space="preserve">Celestia, Arweave, Solana, Reown/WalletConnect, LI.FI, Layer3</t>
  </si>
  <si>
    <t xml:space="preserve">Should not be counted as an NYC fund in practice</t>
  </si>
  <si>
    <t xml:space="preserve">Lightspeed Faction</t>
  </si>
  <si>
    <t xml:space="preserve">Menlo Park / SF</t>
  </si>
  <si>
    <t xml:space="preserve">No</t>
  </si>
  <si>
    <t xml:space="preserve">2023</t>
  </si>
  <si>
    <t xml:space="preserve">Sam Harrison, Banafsheh Fathieh</t>
  </si>
  <si>
    <t xml:space="preserve">$285M inaugural fund (2023)</t>
  </si>
  <si>
    <t xml:space="preserve">Early-stage crypto</t>
  </si>
  <si>
    <t xml:space="preserve">Lightspeed-affiliated</t>
  </si>
  <si>
    <t xml:space="preserve">West Coast; on the map only to close the question of whether it belongs here</t>
  </si>
  <si>
    <t xml:space="preserve">2003-04</t>
  </si>
  <si>
    <t xml:space="preserve">Fred Wilson, Brad Burnham (founders)</t>
  </si>
  <si>
    <t xml:space="preserve">Last core fund $275M plus $350M opportunity fund (2022, $625M total); small funds by design</t>
  </si>
  <si>
    <t xml:space="preserve">Series A-centric equity; collaborative decision-making</t>
  </si>
  <si>
    <t xml:space="preserve">Thesis 3.0; crypto since 2013 (first bet Coinbase); 25+ web3 positions</t>
  </si>
  <si>
    <t xml:space="preserve">Coinbase, Uniswap, Polygon, Helium, Dapper</t>
  </si>
  <si>
    <t xml:space="preserve">Led a 2025 prediction-market startup round alongside Coinbase Ventures</t>
  </si>
  <si>
    <t xml:space="preserve">USV thesis blog; Fred Wilson's AVC; alumni lineage runs to Placeholder (Monegro, Burniske era)</t>
  </si>
  <si>
    <t xml:space="preserve">They reward writing; written outreach plays to this</t>
  </si>
  <si>
    <t xml:space="preserve">New York, NY (200 Park Ave S)</t>
  </si>
  <si>
    <t xml:space="preserve">2012</t>
  </si>
  <si>
    <t xml:space="preserve">Brooks Gibbins, Gareth Jones</t>
  </si>
  <si>
    <t xml:space="preserve">~$500M AUM; 7 funds; 171 investments; 14 exits</t>
  </si>
  <si>
    <t xml:space="preserve">Seed/A; $500K-4M checks; equity</t>
  </si>
  <si>
    <t xml:space="preserve">Fintech + DeFi crossover; stablecoins, payments, capital markets DNA</t>
  </si>
  <si>
    <t xml:space="preserve">171 investments (individual crypto names not detailed in the research)</t>
  </si>
  <si>
    <t xml:space="preserve">Newsletters (The Dollar's New Avatar; Stablecoins Take the Lead); Layer One podcast; adjacent to the Stablecon NYC conference</t>
  </si>
  <si>
    <t xml:space="preserve">Best pure stablecoins/payments thesis fit in the city</t>
  </si>
  <si>
    <t xml:space="preserve">RRE Ventures</t>
  </si>
  <si>
    <t xml:space="preserve">New York, NY (130 E 59th)</t>
  </si>
  <si>
    <t xml:space="preserve">1994</t>
  </si>
  <si>
    <t xml:space="preserve">Long-standing NYC partnership</t>
  </si>
  <si>
    <t xml:space="preserve">~$2.5B AUM; 5 funds</t>
  </si>
  <si>
    <t xml:space="preserve">Seed/A; primarily equity</t>
  </si>
  <si>
    <t xml:space="preserve">Generalist with a dedicated crypto focus area</t>
  </si>
  <si>
    <t xml:space="preserve">Ripple, Paxos, Binance.US, BitPay, Blockdaemon, Abra, Bitnomial</t>
  </si>
  <si>
    <t xml:space="preserve">Active in 2025-26</t>
  </si>
  <si>
    <t xml:space="preserve">NYC generalist brand; crypto focus page</t>
  </si>
  <si>
    <t xml:space="preserve">Bitnomial overlap connects to your Deal Evidence tab</t>
  </si>
  <si>
    <t xml:space="preserve">Insight Partners</t>
  </si>
  <si>
    <t xml:space="preserve">Active (crypto episodic)</t>
  </si>
  <si>
    <t xml:space="preserve">Growth platform</t>
  </si>
  <si>
    <t xml:space="preserve">~$90B AUM</t>
  </si>
  <si>
    <t xml:space="preserve">Growth equity</t>
  </si>
  <si>
    <t xml:space="preserve">Crypto-adjacent since 2020</t>
  </si>
  <si>
    <t xml:space="preserve">FTX (historic), TaxBit</t>
  </si>
  <si>
    <t xml:space="preserve">Portal's Evan Fisher is an alumnus</t>
  </si>
  <si>
    <t xml:space="preserve">Crypto is opportunistic, not a practice</t>
  </si>
  <si>
    <t xml:space="preserve">Thrive Capital</t>
  </si>
  <si>
    <t xml:space="preserve">New York, NY (Puck Building)</t>
  </si>
  <si>
    <t xml:space="preserve">Active (minimal crypto)</t>
  </si>
  <si>
    <t xml:space="preserve">2009</t>
  </si>
  <si>
    <t xml:space="preserve">Josh Kushner</t>
  </si>
  <si>
    <t xml:space="preserve">Thrive X $10B (Feb 2026); ~$50-65B AUM</t>
  </si>
  <si>
    <t xml:space="preserve">Growth; equity</t>
  </si>
  <si>
    <t xml:space="preserve">AI, consumer, enterprise core; crypto peripheral</t>
  </si>
  <si>
    <t xml:space="preserve">OpenAI, Stripe, SpaceX; Robinhood on the historic fintech side</t>
  </si>
  <si>
    <t xml:space="preserve">Peripheral for this thesis</t>
  </si>
  <si>
    <t xml:space="preserve">Deviation Capital (ex-Two Sigma Ventures)</t>
  </si>
  <si>
    <t xml:space="preserve">Active (crypto sleeve)</t>
  </si>
  <si>
    <t xml:space="preserve">Rebranded 2025-26</t>
  </si>
  <si>
    <t xml:space="preserve">~$400M across two 2022 funds; roughly 15% allocated to crypto/web3</t>
  </si>
  <si>
    <t xml:space="preserve">Data-driven generalist; equity</t>
  </si>
  <si>
    <t xml:space="preserve">Crypto is a minority sleeve</t>
  </si>
  <si>
    <t xml:space="preserve">Pyth, Omni, Rally</t>
  </si>
  <si>
    <t xml:space="preserve">Verify the rebrand on the firm's site before outreach</t>
  </si>
  <si>
    <t xml:space="preserve">Valor Capital Group</t>
  </si>
  <si>
    <t xml:space="preserve">New York, NY (+ Rio, Sao Paulo)</t>
  </si>
  <si>
    <t xml:space="preserve">Active (crypto opportunistic)</t>
  </si>
  <si>
    <t xml:space="preserve">2011</t>
  </si>
  <si>
    <t xml:space="preserve">Sobel family</t>
  </si>
  <si>
    <t xml:space="preserve">~$2.2B AUM</t>
  </si>
  <si>
    <t xml:space="preserve">US-Brazil/LatAm crossover; equity</t>
  </si>
  <si>
    <t xml:space="preserve">Crypto limited and opportunistic</t>
  </si>
  <si>
    <t xml:space="preserve">Coinbase, Bitso, Valora</t>
  </si>
  <si>
    <t xml:space="preserve">Personal edge: your Sao Paulo M&amp;A years and dual citizenship are differentiated here</t>
  </si>
  <si>
    <t xml:space="preserve">New York, NY (666 Third Ave)</t>
  </si>
  <si>
    <t xml:space="preserve">Oct 2024</t>
  </si>
  <si>
    <t xml:space="preserve">Wyatt Lonergan, Juan Lopez (both ex-Circle Ventures)</t>
  </si>
  <si>
    <t xml:space="preserve">$30M debut fund closed early 2025; related PurposeBuilt Fund launched Jun 2025 (liquid + venture)</t>
  </si>
  <si>
    <t xml:space="preserve">Pre-seed/seed; $500K-1M checks; 25-35 companies; equity</t>
  </si>
  <si>
    <t xml:space="preserve">Fintech + digital assets + AI; stablecoins and tokenization</t>
  </si>
  <si>
    <t xml:space="preserve">Building portfolio</t>
  </si>
  <si>
    <t xml:space="preserve">Actively deploying</t>
  </si>
  <si>
    <t xml:space="preserve">VanEck (parent)</t>
  </si>
  <si>
    <t xml:space="preserve">The Circle Ventures spinout story is the natural intro line</t>
  </si>
  <si>
    <t xml:space="preserve">Circle Ventures</t>
  </si>
  <si>
    <t xml:space="preserve">New York, NY (One World Trade Center)</t>
  </si>
  <si>
    <t xml:space="preserve">Active (modest)</t>
  </si>
  <si>
    <t xml:space="preserve">Circle relocated HQ around its Jun 2025 NYSE IPO (CRCL, ~$1.05B raised)</t>
  </si>
  <si>
    <t xml:space="preserve">~9 investments to date</t>
  </si>
  <si>
    <t xml:space="preserve">CVC equity</t>
  </si>
  <si>
    <t xml:space="preserve">USDC ecosystem</t>
  </si>
  <si>
    <t xml:space="preserve">Latest: Zodia Markets (Jul 2025)</t>
  </si>
  <si>
    <t xml:space="preserve">Circle (parent)</t>
  </si>
  <si>
    <t xml:space="preserve">Prior VC leads left to found VanEck Ventures, thinning dedicated activity</t>
  </si>
  <si>
    <t xml:space="preserve">Consensys / Mesh</t>
  </si>
  <si>
    <t xml:space="preserve">Consensys 2014; Mesh 2015, independent 2020</t>
  </si>
  <si>
    <t xml:space="preserve">Joe Lubin (founder)</t>
  </si>
  <si>
    <t xml:space="preserve">~138 equity/token positions; Tachyon and TachyonX accelerators (90+ projects)</t>
  </si>
  <si>
    <t xml:space="preserve">CVC equity + tokens; accelerator</t>
  </si>
  <si>
    <t xml:space="preserve">Ethereum ecosystem</t>
  </si>
  <si>
    <t xml:space="preserve">MetaMask, Gnosis, Aztec, Gitcoin</t>
  </si>
  <si>
    <t xml:space="preserve">Mesh new-deal cadence below peak</t>
  </si>
  <si>
    <t xml:space="preserve">Tachyon accelerator; ecosystem events</t>
  </si>
  <si>
    <t xml:space="preserve">Consensys IPO delayed to fall 2026 after the Feb 2026 downturn; ARR $150M+; last valued $7B (2022)</t>
  </si>
  <si>
    <t xml:space="preserve">Ava Labs / Blizzard Fund</t>
  </si>
  <si>
    <t xml:space="preserve">Brooklyn, NY (+ Miami)</t>
  </si>
  <si>
    <t xml:space="preserve">Emin Gun Sirer, Kevin Sekniqi, Ted Yin</t>
  </si>
  <si>
    <t xml:space="preserve">Ava Labs raised $250M in Dec 2024 (Galaxy-led); Blizzard is a $200M+ Avalanche ecosystem fund (launched 2021)</t>
  </si>
  <si>
    <t xml:space="preserve">Ecosystem equity + tokens</t>
  </si>
  <si>
    <t xml:space="preserve">Avalanche ecosystem</t>
  </si>
  <si>
    <t xml:space="preserve">150+ Blizzard investments</t>
  </si>
  <si>
    <t xml:space="preserve">Still deploying into the ecosystem</t>
  </si>
  <si>
    <t xml:space="preserve">Galaxy led the Dec 2024 raise</t>
  </si>
  <si>
    <t xml:space="preserve">Ecosystem events</t>
  </si>
  <si>
    <t xml:space="preserve">Winklevoss Capital / Gemini</t>
  </si>
  <si>
    <t xml:space="preserve">New York, NY (30 W 24th)</t>
  </si>
  <si>
    <t xml:space="preserve">Cameron and Tyler Winklevoss</t>
  </si>
  <si>
    <t xml:space="preserve">~172 investments; 24 exits</t>
  </si>
  <si>
    <t xml:space="preserve">Family office VC; equity + BTC</t>
  </si>
  <si>
    <t xml:space="preserve">Crypto, space, energy, biotech</t>
  </si>
  <si>
    <t xml:space="preserve">Broad portfolio</t>
  </si>
  <si>
    <t xml:space="preserve">Gemini Space Station (Nasdaq: GEMI) IPO priced at $28, above the $24-26 range, Sep 2025; 15,178,572 Class A shares; ~$425M raised at ~$3.3B valuation; reported 20x oversubscribed; Nasdaq committed a $50M private placement</t>
  </si>
  <si>
    <t xml:space="preserve">Gemini stock later fell sharply; Winklevoss Capital injected $100M at $14/share in May 2026, paid in bitcoin</t>
  </si>
  <si>
    <t xml:space="preserve">Republic Capital / Crypto</t>
  </si>
  <si>
    <t xml:space="preserve">Republic 2016; Capital arm 2019</t>
  </si>
  <si>
    <t xml:space="preserve">Organized as Republic Capital (multi-stage VC), Republic Digital (crypto hedge fund), Republic Crypto (advisory)</t>
  </si>
  <si>
    <t xml:space="preserve">$2.6B+ deployed across 2,500+ ventures</t>
  </si>
  <si>
    <t xml:space="preserve">Multi-stage; equity + tokens</t>
  </si>
  <si>
    <t xml:space="preserve">Tokenized assets and retail platform push in 2026</t>
  </si>
  <si>
    <t xml:space="preserve">Broad</t>
  </si>
  <si>
    <t xml:space="preserve">Latest Republic Capital deal: Neblio Technologies (Oct 2025)</t>
  </si>
  <si>
    <t xml:space="preserve">Backed by Galaxy, Binance, Naspers</t>
  </si>
  <si>
    <t xml:space="preserve">Platform events</t>
  </si>
  <si>
    <t xml:space="preserve">White Star Capital DAF</t>
  </si>
  <si>
    <t xml:space="preserve">New York (DAF team; global firm: London, Paris, Montreal, Toronto, Tokyo, Singapore)</t>
  </si>
  <si>
    <t xml:space="preserve">Team</t>
  </si>
  <si>
    <t xml:space="preserve">Active (modest cadence)</t>
  </si>
  <si>
    <t xml:space="preserve">DAF I 2021</t>
  </si>
  <si>
    <t xml:space="preserve">Sep Alavi (Managing Partner); Eddie Lee, Luke Xiao (DAF team)</t>
  </si>
  <si>
    <t xml:space="preserve">DAF I $50M (2021); DAF II $120M first close (2022, Ubisoft anchor)</t>
  </si>
  <si>
    <t xml:space="preserve">Seed/A; equity + tokens</t>
  </si>
  <si>
    <t xml:space="preserve">DeFi, gaming</t>
  </si>
  <si>
    <t xml:space="preserve">Ledn, RedStone, Etherfuse, Kulipa</t>
  </si>
  <si>
    <t xml:space="preserve">Latest: Alfred (Jan 2026)</t>
  </si>
  <si>
    <t xml:space="preserve">Ubisoft anchored DAF II</t>
  </si>
  <si>
    <t xml:space="preserve">DCG</t>
  </si>
  <si>
    <t xml:space="preserve">Stamford, CT (relocated from Manhattan 2021)</t>
  </si>
  <si>
    <t xml:space="preserve">Metro</t>
  </si>
  <si>
    <t xml:space="preserve">Barry Silbert</t>
  </si>
  <si>
    <t xml:space="preserve">200+ investments; targeting a $1B Fund V per PitchBook</t>
  </si>
  <si>
    <t xml:space="preserve">CVC/operator; venture equity + private tokens + event-driven plays</t>
  </si>
  <si>
    <t xml:space="preserve">Broad digital assets</t>
  </si>
  <si>
    <t xml:space="preserve">Grayscale, Foundry, Luno</t>
  </si>
  <si>
    <t xml:space="preserve">Metro-area coffee range</t>
  </si>
  <si>
    <t xml:space="preserve">Genesis went bankrupt in 2023; CoinDesk was sold</t>
  </si>
  <si>
    <t xml:space="preserve">50T (ex-10T / 1RT)</t>
  </si>
  <si>
    <t xml:space="preserve">Stamford/Greenwich, CT</t>
  </si>
  <si>
    <t xml:space="preserve">10T 2021; 1RT 2023; merged as 50T Jul 2025</t>
  </si>
  <si>
    <t xml:space="preserve">Dan Tapiero</t>
  </si>
  <si>
    <t xml:space="preserve">$500M growth-equity fund launched at the merger; ~$2B combined AUM</t>
  </si>
  <si>
    <t xml:space="preserve">Growth equity; no tokens</t>
  </si>
  <si>
    <t xml:space="preserve">Growth-stage digital assets</t>
  </si>
  <si>
    <t xml:space="preserve">Kraken, Yuga Labs, Animoca, Ledger, Ledn, Quicknode</t>
  </si>
  <si>
    <t xml:space="preserve">Growth-stage crossover angle only</t>
  </si>
  <si>
    <t xml:space="preserve">Bitkraft Ventures</t>
  </si>
  <si>
    <t xml:space="preserve">Denver/Berlin (NYC is one of several offices)</t>
  </si>
  <si>
    <t xml:space="preserve">Jens Hilgers (founder); Carlos Pereira leads web3</t>
  </si>
  <si>
    <t xml:space="preserve">$1B+ AUM; Fund III $275M (2024) plus token funds</t>
  </si>
  <si>
    <t xml:space="preserve">Web3 gaming; equity + tokens</t>
  </si>
  <si>
    <t xml:space="preserve">Gaming and interactive media</t>
  </si>
  <si>
    <t xml:space="preserve">Gaming portfolio</t>
  </si>
  <si>
    <t xml:space="preserve">Gaming-only relevance</t>
  </si>
  <si>
    <t xml:space="preserve">Metalayer</t>
  </si>
  <si>
    <t xml:space="preserve">NYC-linked (verify HQ)</t>
  </si>
  <si>
    <t xml:space="preserve">Active (emerging)</t>
  </si>
  <si>
    <t xml:space="preserve">Recent</t>
  </si>
  <si>
    <t xml:space="preserve">Founded by Two Sigma veterans</t>
  </si>
  <si>
    <t xml:space="preserve">~$25M fund</t>
  </si>
  <si>
    <t xml:space="preserve">The research associates the fund with Ethena and Clear Token; verify whether as backers or portfolio</t>
  </si>
  <si>
    <t xml:space="preserve">Newly surfaced in the research; small but worth tracking as an emerging vehicle</t>
  </si>
  <si>
    <t xml:space="preserve">Neoclassic Capital</t>
  </si>
  <si>
    <t xml:space="preserve">NYC-connected</t>
  </si>
  <si>
    <t xml:space="preserve">2024</t>
  </si>
  <si>
    <t xml:space="preserve">Michael Bucella (ex-BlockTower), Steve Lee</t>
  </si>
  <si>
    <t xml:space="preserve">Building</t>
  </si>
  <si>
    <t xml:space="preserve">Backers include Marc Andreessen and Chris Dixon personally</t>
  </si>
  <si>
    <t xml:space="preserve">Bucella is NYC-visible and media-active</t>
  </si>
  <si>
    <t xml:space="preserve">The firm is Miami despite the NYC network</t>
  </si>
  <si>
    <t xml:space="preserve">Breed VC</t>
  </si>
  <si>
    <t xml:space="preserve">Boston/Miami roots (databases list Boston/NY)</t>
  </si>
  <si>
    <t xml:space="preserve">Listings vary</t>
  </si>
  <si>
    <t xml:space="preserve">Active (small)</t>
  </si>
  <si>
    <t xml:space="preserve">Jed Breed</t>
  </si>
  <si>
    <t xml:space="preserve">Fund I $20M (2023); Fund II first close ~$13.6M (Nov 2025)</t>
  </si>
  <si>
    <t xml:space="preserve">Small early-stage</t>
  </si>
  <si>
    <t xml:space="preserve">Small portfolio</t>
  </si>
  <si>
    <t xml:space="preserve">Fund I backed by Castle Island's Nic Carter and Matt Walsh, Tribe Capital, Shima Capital</t>
  </si>
  <si>
    <t xml:space="preserve">The Castle Island connection ties into your Talos web</t>
  </si>
  <si>
    <t xml:space="preserve">Syncracy Capital</t>
  </si>
  <si>
    <t xml:space="preserve">Not venture (liquid)</t>
  </si>
  <si>
    <t xml:space="preserve">Ryan Watkins, Daniel Cheung</t>
  </si>
  <si>
    <t xml:space="preserve">~$230M AUM</t>
  </si>
  <si>
    <t xml:space="preserve">Liquid token hedge fund</t>
  </si>
  <si>
    <t xml:space="preserve">Exclude from VC targeting; the research output is still worth reading</t>
  </si>
  <si>
    <t xml:space="preserve">Brevan Howard Digital</t>
  </si>
  <si>
    <t xml:space="preserve">UK / Austin</t>
  </si>
  <si>
    <t xml:space="preserve">Mostly liquid</t>
  </si>
  <si>
    <t xml:space="preserve">Fund fell 29.5% in 2025, its worst year since launch, driven by illiquid markdowns</t>
  </si>
  <si>
    <t xml:space="preserve">Liquid with a minority venture sleeve</t>
  </si>
  <si>
    <t xml:space="preserve">Shifting toward stablecoins and infrastructure</t>
  </si>
  <si>
    <t xml:space="preserve">Not an NYC venture target</t>
  </si>
  <si>
    <t xml:space="preserve">NYDIG / Stone Ridge</t>
  </si>
  <si>
    <t xml:space="preserve">Not VC</t>
  </si>
  <si>
    <t xml:space="preserve">Ross Stevens</t>
  </si>
  <si>
    <t xml:space="preserve">Bitcoin financial services: custody, mining, power</t>
  </si>
  <si>
    <t xml:space="preserve">Acquired Crusoe's bitcoin mining operations (Mar 2025)</t>
  </si>
  <si>
    <t xml:space="preserve">Interesting company, wrong lane for VC targeting</t>
  </si>
  <si>
    <t xml:space="preserve">ProCap (Pompliano)</t>
  </si>
  <si>
    <t xml:space="preserve">Anthony Pompliano</t>
  </si>
  <si>
    <t xml:space="preserve">$750M+ raised; SPAC merger completed Dec 2025 (Nasdaq: BRR, via Columbus Circle Capital Corp I)</t>
  </si>
  <si>
    <t xml:space="preserve">Bitcoin treasury company</t>
  </si>
  <si>
    <t xml:space="preserve">Shares fell sharply post-merger amid the broader derating of 2025-vintage bitcoin treasury companies</t>
  </si>
  <si>
    <t xml:space="preserve">Tusk Venture Partners</t>
  </si>
  <si>
    <t xml:space="preserve">Winding down VC</t>
  </si>
  <si>
    <t xml:space="preserve">Bradley Tusk, Jordan Nof</t>
  </si>
  <si>
    <t xml:space="preserve">Fund III (2022) announced as the last traditional venture fund</t>
  </si>
  <si>
    <t xml:space="preserve">Pivoting to an equity-for-services regulatory consulting model</t>
  </si>
  <si>
    <t xml:space="preserve">Regulatory-adjacent crypto historically</t>
  </si>
  <si>
    <t xml:space="preserve">Coinbase, Circle, Ripple (regulatory-adjacent)</t>
  </si>
  <si>
    <t xml:space="preserve">Do not spend networking time here</t>
  </si>
  <si>
    <t xml:space="preserve">Point72 Ventures</t>
  </si>
  <si>
    <t xml:space="preserve">Stamford parent</t>
  </si>
  <si>
    <t xml:space="preserve">Exited crypto VC</t>
  </si>
  <si>
    <t xml:space="preserve">Now AI, defense, enterprise</t>
  </si>
  <si>
    <t xml:space="preserve">Crypto and digital assets team laid off Jun 2024</t>
  </si>
  <si>
    <t xml:space="preserve">No active crypto VC</t>
  </si>
  <si>
    <t xml:space="preserve">Full-fidelity transfer of the Aug 22, 2026 deep research: complete fund lineages, founder rosters, LP compositions, and 2025-26 activity as reported. Blank cells mean the research did not surface that field, not that it does not exist. Fund sizes from third-party databases are approximate; confirm final closes with each firm before citing in conversation.</t>
  </si>
  <si>
    <t xml:space="preserve">VC Universe</t>
  </si>
  <si>
    <t xml:space="preserve">The global crypto-fund universe with NYC reachability  |  149 funds  |  Filter the NYC Presence column to plan coffee-chat range</t>
  </si>
  <si>
    <t xml:space="preserve">Src: R = verified Aug 2026 research; K = general knowledge - VERIFY. NYC Presence: HQ / Metro (commutable) / Office / Team / People (individuals based there) / Verify (unconfirmed) / '-' none known. K-confidence, Jan 2026 horizon - confirm before planning outreach around it. Yellow column O is yours.</t>
  </si>
  <si>
    <t xml:space="preserve">Region</t>
  </si>
  <si>
    <t xml:space="preserve">Scale (approx)</t>
  </si>
  <si>
    <t xml:space="preserve">Stage &amp; Instruments</t>
  </si>
  <si>
    <t xml:space="preserve">Key People</t>
  </si>
  <si>
    <t xml:space="preserve">Portfolio / Evidence</t>
  </si>
  <si>
    <t xml:space="preserve">Crypto-native VC</t>
  </si>
  <si>
    <t xml:space="preserve">$550M+ recent vehicles</t>
  </si>
  <si>
    <t xml:space="preserve">Pre-seed to growth; equity + liquid</t>
  </si>
  <si>
    <t xml:space="preserve">Market structure, stablecoins, DeFi, AI agents</t>
  </si>
  <si>
    <t xml:space="preserve">Jake Brukhman, Alex Felix</t>
  </si>
  <si>
    <t xml:space="preserve">Solana, Polygon, Dapper; recent: Veda, Ether.fi</t>
  </si>
  <si>
    <t xml:space="preserve">Has hired early-career; NYC events + CVF</t>
  </si>
  <si>
    <t xml:space="preserve">Full detail on VC Fund Database tab; On working tab</t>
  </si>
  <si>
    <t xml:space="preserve">Fund III $100M+ (2025)</t>
  </si>
  <si>
    <t xml:space="preserve">First check to Series A; equity + liquid</t>
  </si>
  <si>
    <t xml:space="preserve">Stablecoins, payments infra, crypto x AI, DePIN</t>
  </si>
  <si>
    <t xml:space="preserve">Ash Egan, Katherine Wu</t>
  </si>
  <si>
    <t xml:space="preserve">Privy (-&gt; Stripe), Rated</t>
  </si>
  <si>
    <t xml:space="preserve">Archebyte podcast; NYC events</t>
  </si>
  <si>
    <t xml:space="preserve">Variant 4 $222M (2026)</t>
  </si>
  <si>
    <t xml:space="preserve">Ownership economy; autonomy (crypto x AI)</t>
  </si>
  <si>
    <t xml:space="preserve">Jesse Walden, Li Jin</t>
  </si>
  <si>
    <t xml:space="preserve">Uniswap, Phantom, Magic Eden, Flashbots</t>
  </si>
  <si>
    <t xml:space="preserve">Writing-first outreach</t>
  </si>
  <si>
    <t xml:space="preserve">One-roof platform</t>
  </si>
  <si>
    <t xml:space="preserve">Fund I $175M+ (2025)</t>
  </si>
  <si>
    <t xml:space="preserve">Early-stage equity; $3-5M checks</t>
  </si>
  <si>
    <t xml:space="preserve">Stablecoins, payments, tokenization</t>
  </si>
  <si>
    <t xml:space="preserve">Will Nuelle, Mike Giampapa</t>
  </si>
  <si>
    <t xml:space="preserve">Ethena, Monad, Plume, Fireblocks (b/s)</t>
  </si>
  <si>
    <t xml:space="preserve">Platform hires; CVF-compatible</t>
  </si>
  <si>
    <t xml:space="preserve">Fund II $145M</t>
  </si>
  <si>
    <t xml:space="preserve">Pre-seed to A; equity + tokens</t>
  </si>
  <si>
    <t xml:space="preserve">Consumer, Solana, gaming, media</t>
  </si>
  <si>
    <t xml:space="preserve">Mike Dudas, Serge Kassardjian</t>
  </si>
  <si>
    <t xml:space="preserve">Magic Eden, io.net, Pump.fun</t>
  </si>
  <si>
    <t xml:space="preserve">Dudas highly public; NYC events</t>
  </si>
  <si>
    <t xml:space="preserve">Crypto-native hybrid</t>
  </si>
  <si>
    <t xml:space="preserve">~$150M</t>
  </si>
  <si>
    <t xml:space="preserve">Long-hold venture + liquid</t>
  </si>
  <si>
    <t xml:space="preserve">Thesis-driven protocols</t>
  </si>
  <si>
    <t xml:space="preserve">Chris Burniske, Joel Monegro</t>
  </si>
  <si>
    <t xml:space="preserve">Ethereum, Solana, Celestia, Monad</t>
  </si>
  <si>
    <t xml:space="preserve">Research library; slower cadence</t>
  </si>
  <si>
    <t xml:space="preserve">Full detail on VC Fund Database tab</t>
  </si>
  <si>
    <t xml:space="preserve">Multi-strategy hybrid</t>
  </si>
  <si>
    <t xml:space="preserve">$1.5B launch mandate</t>
  </si>
  <si>
    <t xml:space="preserve">Venture sleeve + liquid + trading</t>
  </si>
  <si>
    <t xml:space="preserve">Matt Zhang</t>
  </si>
  <si>
    <t xml:space="preserve">Institutional; less founder-facing</t>
  </si>
  <si>
    <t xml:space="preserve">Funds I-IV</t>
  </si>
  <si>
    <t xml:space="preserve">Base layers / L1s</t>
  </si>
  <si>
    <t xml:space="preserve">Ken Seiff</t>
  </si>
  <si>
    <t xml:space="preserve">Solana, Polkadot, Near, Arbitrum</t>
  </si>
  <si>
    <t xml:space="preserve">Seiff podcast-accessible</t>
  </si>
  <si>
    <t xml:space="preserve">~$300M AUM</t>
  </si>
  <si>
    <t xml:space="preserve">Early-stage; $250K-3M checks</t>
  </si>
  <si>
    <t xml:space="preserve">Stablecoin payments, interoperability, DeFi</t>
  </si>
  <si>
    <t xml:space="preserve">Travis Scher, Glenn Hutchins</t>
  </si>
  <si>
    <t xml:space="preserve">Axelar, Flow, Ether.fi, Utila</t>
  </si>
  <si>
    <t xml:space="preserve">Has advertised associate roles</t>
  </si>
  <si>
    <t xml:space="preserve">Fund II $75M (2024)</t>
  </si>
  <si>
    <t xml:space="preserve">Pre-seed lead; equity + tokens</t>
  </si>
  <si>
    <t xml:space="preserve">Fundamentals-driven; crypto rails</t>
  </si>
  <si>
    <t xml:space="preserve">Evan Fisher, Catrina Wang</t>
  </si>
  <si>
    <t xml:space="preserve">Hires early-career; MBA-legible</t>
  </si>
  <si>
    <t xml:space="preserve">Fund III raising ~$100M</t>
  </si>
  <si>
    <t xml:space="preserve">DeFi, institutional capital markets, payments</t>
  </si>
  <si>
    <t xml:space="preserve">Michael Steinberg, Craig Burel</t>
  </si>
  <si>
    <t xml:space="preserve">Solana (seed), The Graph</t>
  </si>
  <si>
    <t xml:space="preserve">Diffusion-thesis research</t>
  </si>
  <si>
    <t xml:space="preserve">~$100M Web3 fund</t>
  </si>
  <si>
    <t xml:space="preserve">Venture sleeve; liquid-heavy</t>
  </si>
  <si>
    <t xml:space="preserve">Nathan Montone</t>
  </si>
  <si>
    <t xml:space="preserve">Huddle01, Euler</t>
  </si>
  <si>
    <t xml:space="preserve">Modest cadence</t>
  </si>
  <si>
    <t xml:space="preserve">Fund IV $650M (2026); ~$4B AUM</t>
  </si>
  <si>
    <t xml:space="preserve">Seed to B+; $3-30M; equity + liquid</t>
  </si>
  <si>
    <t xml:space="preserve">Financial infra, stablecoins, RWA</t>
  </si>
  <si>
    <t xml:space="preserve">Haseeb Qureshi, Rob Hadick</t>
  </si>
  <si>
    <t xml:space="preserve">Polymarket, Ethena, Avalanche</t>
  </si>
  <si>
    <t xml:space="preserve">Chopping Block podcast</t>
  </si>
  <si>
    <t xml:space="preserve">DOJ caveat on one GP; full detail on VC Fund Database tab; On working tab</t>
  </si>
  <si>
    <t xml:space="preserve">Fund 5 $2.2B; $9.8B total</t>
  </si>
  <si>
    <t xml:space="preserve">Seed to growth; $10-60M</t>
  </si>
  <si>
    <t xml:space="preserve">Stablecoins, tokenization, perps, prediction mkts, AI</t>
  </si>
  <si>
    <t xml:space="preserve">Chris Dixon, Ali Yahya</t>
  </si>
  <si>
    <t xml:space="preserve">Coinbase, Uniswap, Solana</t>
  </si>
  <si>
    <t xml:space="preserve">CSX accelerator; active recruiting; Dixon = Columbia alum</t>
  </si>
  <si>
    <t xml:space="preserve">$625M (2022 funds)</t>
  </si>
  <si>
    <t xml:space="preserve">Series A equity; small funds</t>
  </si>
  <si>
    <t xml:space="preserve">Thesis 3.0; crypto since 2013</t>
  </si>
  <si>
    <t xml:space="preserve">Fred Wilson, Brad Burnham</t>
  </si>
  <si>
    <t xml:space="preserve">Coinbase, Uniswap, Polygon</t>
  </si>
  <si>
    <t xml:space="preserve">Analyst/fellow history; rewards writing</t>
  </si>
  <si>
    <t xml:space="preserve">Fintech VC w/ crypto</t>
  </si>
  <si>
    <t xml:space="preserve">~$500M AUM</t>
  </si>
  <si>
    <t xml:space="preserve">Seed/A; $500K-4M equity</t>
  </si>
  <si>
    <t xml:space="preserve">Stablecoins, payments, capital markets</t>
  </si>
  <si>
    <t xml:space="preserve">171 investments</t>
  </si>
  <si>
    <t xml:space="preserve">Newsletter, Layer One, Stablecon</t>
  </si>
  <si>
    <t xml:space="preserve">~$2.5B AUM</t>
  </si>
  <si>
    <t xml:space="preserve">Seed/A equity</t>
  </si>
  <si>
    <t xml:space="preserve">Generalist + crypto focus area</t>
  </si>
  <si>
    <t xml:space="preserve">Long-standing partnership</t>
  </si>
  <si>
    <t xml:space="preserve">Ripple, Paxos, Blockdaemon, Bitnomial</t>
  </si>
  <si>
    <t xml:space="preserve">NYC brand</t>
  </si>
  <si>
    <t xml:space="preserve">Growth w/ crypto episodic</t>
  </si>
  <si>
    <t xml:space="preserve">Crypto opportunistic</t>
  </si>
  <si>
    <t xml:space="preserve">TaxBit; FTX (historic)</t>
  </si>
  <si>
    <t xml:space="preserve">Portal's Fisher is an alum</t>
  </si>
  <si>
    <t xml:space="preserve">Growth, minimal crypto</t>
  </si>
  <si>
    <t xml:space="preserve">Thrive X $10B (2026)</t>
  </si>
  <si>
    <t xml:space="preserve">AI/consumer core</t>
  </si>
  <si>
    <t xml:space="preserve">OpenAI, Stripe</t>
  </si>
  <si>
    <t xml:space="preserve">Peripheral</t>
  </si>
  <si>
    <t xml:space="preserve">Deviation Capital (ex-Two Sigma V)</t>
  </si>
  <si>
    <t xml:space="preserve">Generalist w/ crypto sleeve</t>
  </si>
  <si>
    <t xml:space="preserve">~$400M (2022)</t>
  </si>
  <si>
    <t xml:space="preserve">Equity</t>
  </si>
  <si>
    <t xml:space="preserve">~15% crypto/web3</t>
  </si>
  <si>
    <t xml:space="preserve">Pyth, Omni</t>
  </si>
  <si>
    <t xml:space="preserve">Verify rebrand</t>
  </si>
  <si>
    <t xml:space="preserve">US-LatAm crossover</t>
  </si>
  <si>
    <t xml:space="preserve">Multi-stage equity</t>
  </si>
  <si>
    <t xml:space="preserve">Coinbase, Bitso</t>
  </si>
  <si>
    <t xml:space="preserve">Brazil angle is differentiated</t>
  </si>
  <si>
    <t xml:space="preserve">$30M debut (2024)</t>
  </si>
  <si>
    <t xml:space="preserve">Pre-seed/seed; $500K-1M</t>
  </si>
  <si>
    <t xml:space="preserve">Stablecoins, tokenization, fintech + AI</t>
  </si>
  <si>
    <t xml:space="preserve">Wyatt Lonergan, Juan Lopez</t>
  </si>
  <si>
    <t xml:space="preserve">Accessible; media-active</t>
  </si>
  <si>
    <t xml:space="preserve">~9 investments</t>
  </si>
  <si>
    <t xml:space="preserve">Zodia Markets</t>
  </si>
  <si>
    <t xml:space="preserve">Thin after team exits</t>
  </si>
  <si>
    <t xml:space="preserve">CVC + accelerator</t>
  </si>
  <si>
    <t xml:space="preserve">~138 positions</t>
  </si>
  <si>
    <t xml:space="preserve">Equity + tokens</t>
  </si>
  <si>
    <t xml:space="preserve">Joe Lubin</t>
  </si>
  <si>
    <t xml:space="preserve">MetaMask, Gnosis, Aztec</t>
  </si>
  <si>
    <t xml:space="preserve">Tachyon accelerator</t>
  </si>
  <si>
    <t xml:space="preserve">Ecosystem fund</t>
  </si>
  <si>
    <t xml:space="preserve">$200M+ (2021)</t>
  </si>
  <si>
    <t xml:space="preserve">Emin Gun Sirer</t>
  </si>
  <si>
    <t xml:space="preserve">150+ investments</t>
  </si>
  <si>
    <t xml:space="preserve">Winklevoss Capital</t>
  </si>
  <si>
    <t xml:space="preserve">Family office VC</t>
  </si>
  <si>
    <t xml:space="preserve">~172 investments</t>
  </si>
  <si>
    <t xml:space="preserve">Equity + BTC</t>
  </si>
  <si>
    <t xml:space="preserve">Crypto, space, energy</t>
  </si>
  <si>
    <t xml:space="preserve">Cameron &amp; Tyler Winklevoss</t>
  </si>
  <si>
    <t xml:space="preserve">Gemini-linked</t>
  </si>
  <si>
    <t xml:space="preserve">Multi-stage platform</t>
  </si>
  <si>
    <t xml:space="preserve">$2.6B+ deployed</t>
  </si>
  <si>
    <t xml:space="preserve">Tokenized assets push</t>
  </si>
  <si>
    <t xml:space="preserve">Global fund, NYC team</t>
  </si>
  <si>
    <t xml:space="preserve">DAF II $120M first close</t>
  </si>
  <si>
    <t xml:space="preserve">Sep Alavi</t>
  </si>
  <si>
    <t xml:space="preserve">Ledn, RedStone</t>
  </si>
  <si>
    <t xml:space="preserve">Digital Currency Group</t>
  </si>
  <si>
    <t xml:space="preserve">US Metro</t>
  </si>
  <si>
    <t xml:space="preserve">CVC / operator</t>
  </si>
  <si>
    <t xml:space="preserve">200+ investments; Fund V ~$1B target</t>
  </si>
  <si>
    <t xml:space="preserve">Venture equity + tokens + event-driven</t>
  </si>
  <si>
    <t xml:space="preserve">Metro coffee range</t>
  </si>
  <si>
    <t xml:space="preserve">50T (ex-10T/1RT)</t>
  </si>
  <si>
    <t xml:space="preserve">$500M fund; ~$2B AUM</t>
  </si>
  <si>
    <t xml:space="preserve">Growth; no tokens</t>
  </si>
  <si>
    <t xml:space="preserve">Kraken, Ledger, Yuga</t>
  </si>
  <si>
    <t xml:space="preserve">Growth crossover only</t>
  </si>
  <si>
    <t xml:space="preserve">Denver/Berlin</t>
  </si>
  <si>
    <t xml:space="preserve">US Other</t>
  </si>
  <si>
    <t xml:space="preserve">Gaming specialist</t>
  </si>
  <si>
    <t xml:space="preserve">$1B+ AUM</t>
  </si>
  <si>
    <t xml:space="preserve">Web3 gaming</t>
  </si>
  <si>
    <t xml:space="preserve">Jens Hilgers, Carlos Pereira</t>
  </si>
  <si>
    <t xml:space="preserve">NYC is a satellite office</t>
  </si>
  <si>
    <t xml:space="preserve">NYC-linked (verify)</t>
  </si>
  <si>
    <t xml:space="preserve">Emerging fund</t>
  </si>
  <si>
    <t xml:space="preserve">~$25M</t>
  </si>
  <si>
    <t xml:space="preserve">Early-stage</t>
  </si>
  <si>
    <t xml:space="preserve">Crypto</t>
  </si>
  <si>
    <t xml:space="preserve">Two Sigma veterans</t>
  </si>
  <si>
    <t xml:space="preserve">Verify associations</t>
  </si>
  <si>
    <t xml:space="preserve">Small; emerging</t>
  </si>
  <si>
    <t xml:space="preserve">People (Bucella)</t>
  </si>
  <si>
    <t xml:space="preserve">n/a</t>
  </si>
  <si>
    <t xml:space="preserve">Broad crypto</t>
  </si>
  <si>
    <t xml:space="preserve">Michael Bucella, Steve Lee</t>
  </si>
  <si>
    <t xml:space="preserve">Building; a16z-figure backing</t>
  </si>
  <si>
    <t xml:space="preserve">Bucella NYC-visible</t>
  </si>
  <si>
    <t xml:space="preserve">Miami HQ despite NYC network</t>
  </si>
  <si>
    <t xml:space="preserve">Boston/Miami</t>
  </si>
  <si>
    <t xml:space="preserve">Verify (listings vary)</t>
  </si>
  <si>
    <t xml:space="preserve">Crypto-native VC (small)</t>
  </si>
  <si>
    <t xml:space="preserve">Fund I $20M; Fund II ~$13.6M FC</t>
  </si>
  <si>
    <t xml:space="preserve">Castle Island-backed</t>
  </si>
  <si>
    <t xml:space="preserve">Ties into the Castle Island web</t>
  </si>
  <si>
    <t xml:space="preserve">- (Boston)</t>
  </si>
  <si>
    <t xml:space="preserve">Multiple funds</t>
  </si>
  <si>
    <t xml:space="preserve">Early-stage equity</t>
  </si>
  <si>
    <t xml:space="preserve">Infrastructure, bitcoin, stablecoins</t>
  </si>
  <si>
    <t xml:space="preserve">Nic Carter, Matt Walsh</t>
  </si>
  <si>
    <t xml:space="preserve">Talos, Coin Metrics</t>
  </si>
  <si>
    <t xml:space="preserve">On The Brink; occasional fellows</t>
  </si>
  <si>
    <t xml:space="preserve">Post-close Talos angle; on VC Targets tab; On working tab</t>
  </si>
  <si>
    <t xml:space="preserve">US West</t>
  </si>
  <si>
    <t xml:space="preserve">Crypto-native VC + liquid</t>
  </si>
  <si>
    <t xml:space="preserve">Multi-$B platform; Fund V in market (verify)</t>
  </si>
  <si>
    <t xml:space="preserve">Venture + liquid</t>
  </si>
  <si>
    <t xml:space="preserve">Broad digital assets since 2013</t>
  </si>
  <si>
    <t xml:space="preserve">Dan Morehead, Paul Veradittakit</t>
  </si>
  <si>
    <t xml:space="preserve">Circle, Ondo, many</t>
  </si>
  <si>
    <t xml:space="preserve">Thesis material travels; on VC Targets tab</t>
  </si>
  <si>
    <t xml:space="preserve">Oldest dedicated crypto fund; On working tab</t>
  </si>
  <si>
    <t xml:space="preserve">Office (Coinbase NYC)</t>
  </si>
  <si>
    <t xml:space="preserve">Most active crypto CVC</t>
  </si>
  <si>
    <t xml:space="preserve">Broad; sits inside corp dev</t>
  </si>
  <si>
    <t xml:space="preserve">Hundreds of portfolio cos</t>
  </si>
  <si>
    <t xml:space="preserve">Enter via Coinbase MBA channels</t>
  </si>
  <si>
    <t xml:space="preserve">On VC Targets tab; On working tab</t>
  </si>
  <si>
    <t xml:space="preserve">Standalone fund</t>
  </si>
  <si>
    <t xml:space="preserve">Fintech + crypto</t>
  </si>
  <si>
    <t xml:space="preserve">On VC Targets tab; double-counts with corp dev; On working tab</t>
  </si>
  <si>
    <t xml:space="preserve">Berlin, DE</t>
  </si>
  <si>
    <t xml:space="preserve">Europe</t>
  </si>
  <si>
    <t xml:space="preserve">$75M (2024)</t>
  </si>
  <si>
    <t xml:space="preserve">Seed/A; token networks</t>
  </si>
  <si>
    <t xml:space="preserve">Celestia, Arweave, LI.FI</t>
  </si>
  <si>
    <t xml:space="preserve">Not NYC in practice</t>
  </si>
  <si>
    <t xml:space="preserve">Berlin HQ despite NY listings</t>
  </si>
  <si>
    <t xml:space="preserve">SF, CA</t>
  </si>
  <si>
    <t xml:space="preserve">Crypto arm of Lightspeed</t>
  </si>
  <si>
    <t xml:space="preserve">$285M (2023)</t>
  </si>
  <si>
    <t xml:space="preserve">Sam Harrison</t>
  </si>
  <si>
    <t xml:space="preserve">West Coast</t>
  </si>
  <si>
    <t xml:space="preserve">Excluded from NYC map</t>
  </si>
  <si>
    <t xml:space="preserve">Liquid fund (NOT VC)</t>
  </si>
  <si>
    <t xml:space="preserve">Liquid tokens</t>
  </si>
  <si>
    <t xml:space="preserve">Liquid crypto</t>
  </si>
  <si>
    <t xml:space="preserve">Read the research; no VC roles</t>
  </si>
  <si>
    <t xml:space="preserve">Network/research value only</t>
  </si>
  <si>
    <t xml:space="preserve">Liquid, minority venture</t>
  </si>
  <si>
    <t xml:space="preserve">Large; -29.5% in 2025</t>
  </si>
  <si>
    <t xml:space="preserve">Shifting to stablecoins/infra</t>
  </si>
  <si>
    <t xml:space="preserve">Not a venture target</t>
  </si>
  <si>
    <t xml:space="preserve">From research</t>
  </si>
  <si>
    <t xml:space="preserve">Fund III last</t>
  </si>
  <si>
    <t xml:space="preserve">Pivoting to services</t>
  </si>
  <si>
    <t xml:space="preserve">Regulatory-adjacent</t>
  </si>
  <si>
    <t xml:space="preserve">Bradley Tusk</t>
  </si>
  <si>
    <t xml:space="preserve">Coinbase, Circle (historic)</t>
  </si>
  <si>
    <t xml:space="preserve">Do not spend time</t>
  </si>
  <si>
    <t xml:space="preserve">Exited crypto</t>
  </si>
  <si>
    <t xml:space="preserve">AI/defense now</t>
  </si>
  <si>
    <t xml:space="preserve">No crypto VC</t>
  </si>
  <si>
    <t xml:space="preserve">Team laid off Jun 2024</t>
  </si>
  <si>
    <t xml:space="preserve">~$1B+ AUM (verify)</t>
  </si>
  <si>
    <t xml:space="preserve">Venture + liquid; institutional</t>
  </si>
  <si>
    <t xml:space="preserve">DeFi, market structure, stablecoin infra</t>
  </si>
  <si>
    <t xml:space="preserve">Ben Forman (ex-KKR)</t>
  </si>
  <si>
    <t xml:space="preserve">Aave, Compound, Chainalysis (verify current)</t>
  </si>
  <si>
    <t xml:space="preserve">Institutional DNA; NYC; strong thesis fit</t>
  </si>
  <si>
    <t xml:space="preserve">Major NYC omission from the research - verify current footprint; On working tab</t>
  </si>
  <si>
    <t xml:space="preserve">Delphi Ventures / Delphi Digital</t>
  </si>
  <si>
    <t xml:space="preserve">Research house + VC</t>
  </si>
  <si>
    <t xml:space="preserve">Early-stage + research</t>
  </si>
  <si>
    <t xml:space="preserve">Broad crypto; research-led</t>
  </si>
  <si>
    <t xml:space="preserve">Anil Lulla, Tommy Shaughnessy</t>
  </si>
  <si>
    <t xml:space="preserve">Research franchise; DeFi/gaming bets</t>
  </si>
  <si>
    <t xml:space="preserve">Research engagement is the door</t>
  </si>
  <si>
    <t xml:space="preserve">Reading their work doubles as CVF prep</t>
  </si>
  <si>
    <t xml:space="preserve">Digital assets infrastructure</t>
  </si>
  <si>
    <t xml:space="preserve">Emil Woods</t>
  </si>
  <si>
    <t xml:space="preserve">Paxos, Lukka (early backers)</t>
  </si>
  <si>
    <t xml:space="preserve">Quiet NYC shop; network play</t>
  </si>
  <si>
    <t xml:space="preserve">Verify current fund activity; On working tab</t>
  </si>
  <si>
    <t xml:space="preserve">Seed to B equity</t>
  </si>
  <si>
    <t xml:space="preserve">Payments, capital markets fintech; selective crypto</t>
  </si>
  <si>
    <t xml:space="preserve">Hans Morris (ex-Visa president)</t>
  </si>
  <si>
    <t xml:space="preserve">Blockchain-adjacent fintech portfolio</t>
  </si>
  <si>
    <t xml:space="preserve">Hires MBAs; NYC; payments royalty</t>
  </si>
  <si>
    <t xml:space="preserve">Thesis-adjacent door with real MBA precedent; On working tab</t>
  </si>
  <si>
    <t xml:space="preserve">Capital-markets fintech VC</t>
  </si>
  <si>
    <t xml:space="preserve">~$500M+ AUM (verify)</t>
  </si>
  <si>
    <t xml:space="preserve">Seed/A equity; strategic LPs are banks</t>
  </si>
  <si>
    <t xml:space="preserve">Capital markets infrastructure, digital assets, post-trade</t>
  </si>
  <si>
    <t xml:space="preserve">Mark Beeston (ex-ICAP)</t>
  </si>
  <si>
    <t xml:space="preserve">Digital-asset market infra bets</t>
  </si>
  <si>
    <t xml:space="preserve">Bank-LP network; market-structure bullseye</t>
  </si>
  <si>
    <t xml:space="preserve">Your prime-lending seat speaks their exact language; On working tab</t>
  </si>
  <si>
    <t xml:space="preserve">Figment Capital</t>
  </si>
  <si>
    <t xml:space="preserve">Proof-of-stake / infra</t>
  </si>
  <si>
    <t xml:space="preserve">Linked to Figment (staking)</t>
  </si>
  <si>
    <t xml:space="preserve">Infra bets</t>
  </si>
  <si>
    <t xml:space="preserve">Verify independence from Figment Inc</t>
  </si>
  <si>
    <t xml:space="preserve">Mechanism Capital</t>
  </si>
  <si>
    <t xml:space="preserve">New York, NY (verify)</t>
  </si>
  <si>
    <t xml:space="preserve">Liquid-leaning hybrid</t>
  </si>
  <si>
    <t xml:space="preserve">DeFi, gaming (historic)</t>
  </si>
  <si>
    <t xml:space="preserve">Andrew Kang</t>
  </si>
  <si>
    <t xml:space="preserve">Liquid-leaning; network only</t>
  </si>
  <si>
    <t xml:space="preserve">Cadence unclear post-2024</t>
  </si>
  <si>
    <t xml:space="preserve">CMS Holdings</t>
  </si>
  <si>
    <t xml:space="preserve">Prop / liquid hybrid</t>
  </si>
  <si>
    <t xml:space="preserve">Liquid + some venture</t>
  </si>
  <si>
    <t xml:space="preserve">Dan Matuszewski</t>
  </si>
  <si>
    <t xml:space="preserve">Not a hiring door; network/market color</t>
  </si>
  <si>
    <t xml:space="preserve">Liquid-first</t>
  </si>
  <si>
    <t xml:space="preserve">Compound VC</t>
  </si>
  <si>
    <t xml:space="preserve">Thesis-driven seed</t>
  </si>
  <si>
    <t xml:space="preserve">Seed equity</t>
  </si>
  <si>
    <t xml:space="preserve">Frontier tech incl. crypto</t>
  </si>
  <si>
    <t xml:space="preserve">Michael Dempsey</t>
  </si>
  <si>
    <t xml:space="preserve">Crypto + frontier bets</t>
  </si>
  <si>
    <t xml:space="preserve">Writing culture</t>
  </si>
  <si>
    <t xml:space="preserve">Adjacent, not crypto-pure</t>
  </si>
  <si>
    <t xml:space="preserve">Motive Partners</t>
  </si>
  <si>
    <t xml:space="preserve">Fintech PE / growth</t>
  </si>
  <si>
    <t xml:space="preserve">Multi-$B</t>
  </si>
  <si>
    <t xml:space="preserve">Growth/buyout</t>
  </si>
  <si>
    <t xml:space="preserve">Financial infrastructure; tokenization-curious</t>
  </si>
  <si>
    <t xml:space="preserve">Rob Heyvaert</t>
  </si>
  <si>
    <t xml:space="preserve">Capital-markets platforms</t>
  </si>
  <si>
    <t xml:space="preserve">PE-track MBAs; not crypto-pure</t>
  </si>
  <si>
    <t xml:space="preserve">Relevant if growth/PE lane opens</t>
  </si>
  <si>
    <t xml:space="preserve">Galaxy Interactive</t>
  </si>
  <si>
    <t xml:space="preserve">Gaming/interactive fund</t>
  </si>
  <si>
    <t xml:space="preserve">$650M+ across funds (verify)</t>
  </si>
  <si>
    <t xml:space="preserve">Games, interactive, metaverse-era</t>
  </si>
  <si>
    <t xml:space="preserve">Sam Englebardt</t>
  </si>
  <si>
    <t xml:space="preserve">Galaxy relationship compounding</t>
  </si>
  <si>
    <t xml:space="preserve">Same roof as your Galaxy targets</t>
  </si>
  <si>
    <t xml:space="preserve">Crypto-native mega-fund</t>
  </si>
  <si>
    <t xml:space="preserve">~$10B+ AUM era; Fund III $850M (2024)</t>
  </si>
  <si>
    <t xml:space="preserve">Seed to growth; equity + tokens; deep technical</t>
  </si>
  <si>
    <t xml:space="preserve">Frontier crypto: infra, DeFi, MEV, policy</t>
  </si>
  <si>
    <t xml:space="preserve">Matt Huang; Fred Ehrsam (co-founder)</t>
  </si>
  <si>
    <t xml:space="preserve">Uniswap, Optimism, Flashbots, Blur, Farcaster</t>
  </si>
  <si>
    <t xml:space="preserve">Elite; rare MBA hires but fellowships/research exist</t>
  </si>
  <si>
    <t xml:space="preserve">The reference crypto fund; engage via research; On working tab</t>
  </si>
  <si>
    <t xml:space="preserve">$1.5B (2022 funds)</t>
  </si>
  <si>
    <t xml:space="preserve">Early + acceleration; equity + tokens</t>
  </si>
  <si>
    <t xml:space="preserve">Consumer crypto, infra, policy-forward</t>
  </si>
  <si>
    <t xml:space="preserve">Katie Haun (ex-a16z, ex-DOJ)</t>
  </si>
  <si>
    <t xml:space="preserve">Aptos, Zora, OpenSea (verify current)</t>
  </si>
  <si>
    <t xml:space="preserve">Policy/regulatory angle; strong brand</t>
  </si>
  <si>
    <t xml:space="preserve">Raised at peak; pace steadied since; On working tab</t>
  </si>
  <si>
    <t xml:space="preserve">~$1B across funds (verify)</t>
  </si>
  <si>
    <t xml:space="preserve">Seed/A; equity + tokens; developer-data-driven</t>
  </si>
  <si>
    <t xml:space="preserve">Developer ecosystems, infra</t>
  </si>
  <si>
    <t xml:space="preserve">Avichal Garg, Curtis Spencer</t>
  </si>
  <si>
    <t xml:space="preserve">Developer Report franchise; broad infra</t>
  </si>
  <si>
    <t xml:space="preserve">Developer Report = conversation currency</t>
  </si>
  <si>
    <t xml:space="preserve">Their annual report is required reading; On working tab</t>
  </si>
  <si>
    <t xml:space="preserve">Polychain Capital</t>
  </si>
  <si>
    <t xml:space="preserve">Multi-$B peak AUM</t>
  </si>
  <si>
    <t xml:space="preserve">Protocols, infra</t>
  </si>
  <si>
    <t xml:space="preserve">Olaf Carlson-Wee</t>
  </si>
  <si>
    <t xml:space="preserve">dYdX, Compound, Avalanche (early)</t>
  </si>
  <si>
    <t xml:space="preserve">Small team; research-led</t>
  </si>
  <si>
    <t xml:space="preserve">Venture + liquid blend</t>
  </si>
  <si>
    <t xml:space="preserve">Fund III $430M (2022)</t>
  </si>
  <si>
    <t xml:space="preserve">Thesis-concentrated; equity + tokens + liquid</t>
  </si>
  <si>
    <t xml:space="preserve">Solana ecosystem, DePIN, infra</t>
  </si>
  <si>
    <t xml:space="preserve">Kyle Samani, Tushar Jain</t>
  </si>
  <si>
    <t xml:space="preserve">Solana (early), Helium, Wormhole</t>
  </si>
  <si>
    <t xml:space="preserve">Prolific public theses; engage in writing</t>
  </si>
  <si>
    <t xml:space="preserve">Highest-conviction public writers in the set; On working tab</t>
  </si>
  <si>
    <t xml:space="preserve">Blockchain Capital</t>
  </si>
  <si>
    <t xml:space="preserve">$580M raised 2023 (Fund VI + opp)</t>
  </si>
  <si>
    <t xml:space="preserve">Early to growth; equity + tokens</t>
  </si>
  <si>
    <t xml:space="preserve">Infra, DeFi, consumer</t>
  </si>
  <si>
    <t xml:space="preserve">Bart Stephens; Spencer Bogart</t>
  </si>
  <si>
    <t xml:space="preserve">Coinbase, Kraken, Aave (verify)</t>
  </si>
  <si>
    <t xml:space="preserve">One of the oldest (2013); institutional</t>
  </si>
  <si>
    <t xml:space="preserve">Long track record</t>
  </si>
  <si>
    <t xml:space="preserve">Standard Crypto</t>
  </si>
  <si>
    <t xml:space="preserve">~$1B+ across funds (verify)</t>
  </si>
  <si>
    <t xml:space="preserve">Concentrated; equity + tokens</t>
  </si>
  <si>
    <t xml:space="preserve">Infra, DeFi</t>
  </si>
  <si>
    <t xml:space="preserve">Adam Goldberg, Alok Vasudev</t>
  </si>
  <si>
    <t xml:space="preserve">Concentrated portfolio</t>
  </si>
  <si>
    <t xml:space="preserve">Low-profile, high-conviction</t>
  </si>
  <si>
    <t xml:space="preserve">Quiet; warm intro needed</t>
  </si>
  <si>
    <t xml:space="preserve">Framework Ventures</t>
  </si>
  <si>
    <t xml:space="preserve">Fund III $400M (2022)</t>
  </si>
  <si>
    <t xml:space="preserve">Thesis-driven; equity + tokens</t>
  </si>
  <si>
    <t xml:space="preserve">DeFi, gaming, RWA-curious</t>
  </si>
  <si>
    <t xml:space="preserve">Michael Anderson, Vance Spencer</t>
  </si>
  <si>
    <t xml:space="preserve">Chainlink, Synthetix, Aave (early)</t>
  </si>
  <si>
    <t xml:space="preserve">DeFi-native credibility</t>
  </si>
  <si>
    <t xml:space="preserve">DeFi pioneer fund</t>
  </si>
  <si>
    <t xml:space="preserve">1confirmation</t>
  </si>
  <si>
    <t xml:space="preserve">~$100M+ funds</t>
  </si>
  <si>
    <t xml:space="preserve">Seed; concentrated</t>
  </si>
  <si>
    <t xml:space="preserve">Consumer crypto, NFTs, ETH-aligned</t>
  </si>
  <si>
    <t xml:space="preserve">Nick Tomaino</t>
  </si>
  <si>
    <t xml:space="preserve">OpenSea, dYdX (early)</t>
  </si>
  <si>
    <t xml:space="preserve">Small; essay culture</t>
  </si>
  <si>
    <t xml:space="preserve">Hack VC</t>
  </si>
  <si>
    <t xml:space="preserve">~$400M+ (verify)</t>
  </si>
  <si>
    <t xml:space="preserve">Seed; equity + tokens</t>
  </si>
  <si>
    <t xml:space="preserve">Crypto x AI, infra, DeFi</t>
  </si>
  <si>
    <t xml:space="preserve">Ed Roman</t>
  </si>
  <si>
    <t xml:space="preserve">Broad seed portfolio; active 2024-25</t>
  </si>
  <si>
    <t xml:space="preserve">High-volume seed; approachable</t>
  </si>
  <si>
    <t xml:space="preserve">Among the most active seed funds recently</t>
  </si>
  <si>
    <t xml:space="preserve">Institutional crypto VC</t>
  </si>
  <si>
    <t xml:space="preserve">$560M Fund I (2022)</t>
  </si>
  <si>
    <t xml:space="preserve">Seed/A; equity + tokens; technical</t>
  </si>
  <si>
    <t xml:space="preserve">Infra, DeFi, cryptography</t>
  </si>
  <si>
    <t xml:space="preserve">Stefan Cohen</t>
  </si>
  <si>
    <t xml:space="preserve">Technical portfolio</t>
  </si>
  <si>
    <t xml:space="preserve">Bain platform; institutional path</t>
  </si>
  <si>
    <t xml:space="preserve">Institutional brand + crypto depth; On working tab</t>
  </si>
  <si>
    <t xml:space="preserve">Slow Ventures</t>
  </si>
  <si>
    <t xml:space="preserve">SF / Boston / NYC</t>
  </si>
  <si>
    <t xml:space="preserve">Seed</t>
  </si>
  <si>
    <t xml:space="preserve">Contrarian consumer + crypto</t>
  </si>
  <si>
    <t xml:space="preserve">Sam Lessin</t>
  </si>
  <si>
    <t xml:space="preserve">Solana (early), social bets</t>
  </si>
  <si>
    <t xml:space="preserve">Essay culture</t>
  </si>
  <si>
    <t xml:space="preserve">Crypto is a sleeve</t>
  </si>
  <si>
    <t xml:space="preserve">Volt Capital</t>
  </si>
  <si>
    <t xml:space="preserve">$50M (2022, verify)</t>
  </si>
  <si>
    <t xml:space="preserve">Soona Amhaz</t>
  </si>
  <si>
    <t xml:space="preserve">Seed portfolio</t>
  </si>
  <si>
    <t xml:space="preserve">Small; community-led</t>
  </si>
  <si>
    <t xml:space="preserve">Chapter One</t>
  </si>
  <si>
    <t xml:space="preserve">Los Angeles, CA</t>
  </si>
  <si>
    <t xml:space="preserve">Product-led seed</t>
  </si>
  <si>
    <t xml:space="preserve">Consumer crypto + product</t>
  </si>
  <si>
    <t xml:space="preserve">Jeff Morris Jr.</t>
  </si>
  <si>
    <t xml:space="preserve">Consumer bets</t>
  </si>
  <si>
    <t xml:space="preserve">Product angle</t>
  </si>
  <si>
    <t xml:space="preserve">Shima Capital</t>
  </si>
  <si>
    <t xml:space="preserve">Crypto-native seed</t>
  </si>
  <si>
    <t xml:space="preserve">$200M Fund I (2022)</t>
  </si>
  <si>
    <t xml:space="preserve">High-volume seed</t>
  </si>
  <si>
    <t xml:space="preserve">Yida Gao</t>
  </si>
  <si>
    <t xml:space="preserve">Large seed portfolio</t>
  </si>
  <si>
    <t xml:space="preserve">Volume player</t>
  </si>
  <si>
    <t xml:space="preserve">Verify current pace</t>
  </si>
  <si>
    <t xml:space="preserve">Tribe Capital</t>
  </si>
  <si>
    <t xml:space="preserve">Data-driven VC w/ crypto</t>
  </si>
  <si>
    <t xml:space="preserve">Multi-stage</t>
  </si>
  <si>
    <t xml:space="preserve">Data-driven; crypto sleeve</t>
  </si>
  <si>
    <t xml:space="preserve">Arjun Sethi (also Kraken co-CEO)</t>
  </si>
  <si>
    <t xml:space="preserve">Kraken (large position)</t>
  </si>
  <si>
    <t xml:space="preserve">Kraken web overlap</t>
  </si>
  <si>
    <t xml:space="preserve">Sethi bridge to Kraken</t>
  </si>
  <si>
    <t xml:space="preserve">Race Capital</t>
  </si>
  <si>
    <t xml:space="preserve">Infra-focused seed</t>
  </si>
  <si>
    <t xml:space="preserve">Infra, data, crypto-adjacent</t>
  </si>
  <si>
    <t xml:space="preserve">Alfred Chuang</t>
  </si>
  <si>
    <t xml:space="preserve">Solana (early)</t>
  </si>
  <si>
    <t xml:space="preserve">Infra angle</t>
  </si>
  <si>
    <t xml:space="preserve">gumi Cryptos Capital (gCC)</t>
  </si>
  <si>
    <t xml:space="preserve">SF + Tokyo</t>
  </si>
  <si>
    <t xml:space="preserve">~$150M+ funds (verify)</t>
  </si>
  <si>
    <t xml:space="preserve">Infra, DeFi, Japan bridge</t>
  </si>
  <si>
    <t xml:space="preserve">Miko Matsumura</t>
  </si>
  <si>
    <t xml:space="preserve">Broad seed</t>
  </si>
  <si>
    <t xml:space="preserve">Japan angle</t>
  </si>
  <si>
    <t xml:space="preserve">Boost VC</t>
  </si>
  <si>
    <t xml:space="preserve">Accelerator + seed</t>
  </si>
  <si>
    <t xml:space="preserve">Pre-seed accelerator</t>
  </si>
  <si>
    <t xml:space="preserve">Sci-fi tech incl. crypto</t>
  </si>
  <si>
    <t xml:space="preserve">Adam Draper</t>
  </si>
  <si>
    <t xml:space="preserve">Long crypto history (2014+)</t>
  </si>
  <si>
    <t xml:space="preserve">Accelerator network</t>
  </si>
  <si>
    <t xml:space="preserve">Draper Associates</t>
  </si>
  <si>
    <t xml:space="preserve">Family of funds</t>
  </si>
  <si>
    <t xml:space="preserve">Bitcoin-forward</t>
  </si>
  <si>
    <t xml:space="preserve">Tim Draper</t>
  </si>
  <si>
    <t xml:space="preserve">Coinbase (early), bitcoin bets</t>
  </si>
  <si>
    <t xml:space="preserve">Brand only</t>
  </si>
  <si>
    <t xml:space="preserve">Arrington Capital</t>
  </si>
  <si>
    <t xml:space="preserve">L1s, infra</t>
  </si>
  <si>
    <t xml:space="preserve">Michael Arrington, Ninor Mansor</t>
  </si>
  <si>
    <t xml:space="preserve">Bloccelerate VC</t>
  </si>
  <si>
    <t xml:space="preserve">Kate Mitselmakher</t>
  </si>
  <si>
    <t xml:space="preserve">Arca</t>
  </si>
  <si>
    <t xml:space="preserve">Asset manager + venture</t>
  </si>
  <si>
    <t xml:space="preserve">Liquid + venture sleeve</t>
  </si>
  <si>
    <t xml:space="preserve">Digital assets, funds</t>
  </si>
  <si>
    <t xml:space="preserve">Rayne Steinberg, Jeff Dorman</t>
  </si>
  <si>
    <t xml:space="preserve">Research notes are useful</t>
  </si>
  <si>
    <t xml:space="preserve">Liquid-leaning</t>
  </si>
  <si>
    <t xml:space="preserve">Fintech elite w/ crypto</t>
  </si>
  <si>
    <t xml:space="preserve">Seed to growth equity</t>
  </si>
  <si>
    <t xml:space="preserve">Global fintech; crypto conviction cycles</t>
  </si>
  <si>
    <t xml:space="preserve">Micky Malka</t>
  </si>
  <si>
    <t xml:space="preserve">Coinbase, Robinhood, Nubank, Revolut</t>
  </si>
  <si>
    <t xml:space="preserve">Elite fintech door; MBA-plausible</t>
  </si>
  <si>
    <t xml:space="preserve">Fintech-crypto crossover royalty; On working tab</t>
  </si>
  <si>
    <t xml:space="preserve">Founders Fund</t>
  </si>
  <si>
    <t xml:space="preserve">Generalist w/ BTC conviction</t>
  </si>
  <si>
    <t xml:space="preserve">Contrarian; bitcoin, Polymarket</t>
  </si>
  <si>
    <t xml:space="preserve">Peter Thiel; team</t>
  </si>
  <si>
    <t xml:space="preserve">Polymarket, bitcoin positions</t>
  </si>
  <si>
    <t xml:space="preserve">Elite; network entry</t>
  </si>
  <si>
    <t xml:space="preserve">Sequoia Capital</t>
  </si>
  <si>
    <t xml:space="preserve">Office (opened ~2024, verify)</t>
  </si>
  <si>
    <t xml:space="preserve">Generalist mega-fund</t>
  </si>
  <si>
    <t xml:space="preserve">Selective crypto (post-FTX chastened)</t>
  </si>
  <si>
    <t xml:space="preserve">Fireblocks, Polygon (verify), FTX (writedown)</t>
  </si>
  <si>
    <t xml:space="preserve">Elite generalist door</t>
  </si>
  <si>
    <t xml:space="preserve">Crypto selective</t>
  </si>
  <si>
    <t xml:space="preserve">SF + London</t>
  </si>
  <si>
    <t xml:space="preserve">Generalist w/ crypto bets</t>
  </si>
  <si>
    <t xml:space="preserve">Selective crypto/fintech</t>
  </si>
  <si>
    <t xml:space="preserve">Bridge (-&gt; Stripe), fintech heavy</t>
  </si>
  <si>
    <t xml:space="preserve">General Catalyst</t>
  </si>
  <si>
    <t xml:space="preserve">SF + NYC</t>
  </si>
  <si>
    <t xml:space="preserve">Fintech + selective crypto</t>
  </si>
  <si>
    <t xml:space="preserve">Circle (early backer, verify)</t>
  </si>
  <si>
    <t xml:space="preserve">Large MBA-friendly platform</t>
  </si>
  <si>
    <t xml:space="preserve">Khosla Ventures</t>
  </si>
  <si>
    <t xml:space="preserve">Deep tech; selective crypto/stablecoin</t>
  </si>
  <si>
    <t xml:space="preserve">OpenSea (verify), stablecoin bets</t>
  </si>
  <si>
    <t xml:space="preserve">GV (Google Ventures)</t>
  </si>
  <si>
    <t xml:space="preserve">Mountain View, CA</t>
  </si>
  <si>
    <t xml:space="preserve">CVC generalist</t>
  </si>
  <si>
    <t xml:space="preserve">Selective crypto infra</t>
  </si>
  <si>
    <t xml:space="preserve">Dapper, Blockchain.com (verify)</t>
  </si>
  <si>
    <t xml:space="preserve">8VC</t>
  </si>
  <si>
    <t xml:space="preserve">Generalist w/ crypto-adjacent</t>
  </si>
  <si>
    <t xml:space="preserve">Fintech infra, defense; stablecoin-curious</t>
  </si>
  <si>
    <t xml:space="preserve">Joe Lonsdale</t>
  </si>
  <si>
    <t xml:space="preserve">Synthetic-dollar adjacency (verify)</t>
  </si>
  <si>
    <t xml:space="preserve">Coatue</t>
  </si>
  <si>
    <t xml:space="preserve">Crossover w/ crypto history</t>
  </si>
  <si>
    <t xml:space="preserve">Growth + liquid</t>
  </si>
  <si>
    <t xml:space="preserve">AI core; crypto episodic</t>
  </si>
  <si>
    <t xml:space="preserve">OpenSea era bets</t>
  </si>
  <si>
    <t xml:space="preserve">CMT Digital</t>
  </si>
  <si>
    <t xml:space="preserve">Trading-family crypto VC</t>
  </si>
  <si>
    <t xml:space="preserve">Early-stage equity + tokens</t>
  </si>
  <si>
    <t xml:space="preserve">Market structure, infra, policy</t>
  </si>
  <si>
    <t xml:space="preserve">CMT Group lineage</t>
  </si>
  <si>
    <t xml:space="preserve">Long crypto-native portfolio</t>
  </si>
  <si>
    <t xml:space="preserve">Market-structure DNA; strong thesis fit</t>
  </si>
  <si>
    <t xml:space="preserve">Trading-firm capital speaks your language</t>
  </si>
  <si>
    <t xml:space="preserve">DRW Venture Capital</t>
  </si>
  <si>
    <t xml:space="preserve">Prop-firm VC (Cumberland)</t>
  </si>
  <si>
    <t xml:space="preserve">Market infra, digital assets</t>
  </si>
  <si>
    <t xml:space="preserve">DRW/Cumberland lineage</t>
  </si>
  <si>
    <t xml:space="preserve">ErisX (historic), infra bets</t>
  </si>
  <si>
    <t xml:space="preserve">Cumberland adjacency</t>
  </si>
  <si>
    <t xml:space="preserve">Jump Capital / Jump Crypto</t>
  </si>
  <si>
    <t xml:space="preserve">Office (via Jump NYC)</t>
  </si>
  <si>
    <t xml:space="preserve">Prop-firm VC + builder</t>
  </si>
  <si>
    <t xml:space="preserve">Equity + tokens + building</t>
  </si>
  <si>
    <t xml:space="preserve">Infra, DeFi, Solana ecosystem</t>
  </si>
  <si>
    <t xml:space="preserve">Pyth ecosystem, Wormhole (rebuilt)</t>
  </si>
  <si>
    <t xml:space="preserve">Engineering-heavy</t>
  </si>
  <si>
    <t xml:space="preserve">Post-2022 rebuild; verify current posture</t>
  </si>
  <si>
    <t xml:space="preserve">Greenfield Capital</t>
  </si>
  <si>
    <t xml:space="preserve">EUR 160M Fund III (verify)</t>
  </si>
  <si>
    <t xml:space="preserve">Open-source infra, ETH-aligned</t>
  </si>
  <si>
    <t xml:space="preserve">Sebastian Blum, Jascha Samadi</t>
  </si>
  <si>
    <t xml:space="preserve">Infra portfolio</t>
  </si>
  <si>
    <t xml:space="preserve">Leading German crypto fund</t>
  </si>
  <si>
    <t xml:space="preserve">Europe network relevance</t>
  </si>
  <si>
    <t xml:space="preserve">Fabric Ventures</t>
  </si>
  <si>
    <t xml:space="preserve">~$245M (2022, verify)</t>
  </si>
  <si>
    <t xml:space="preserve">Open economy, infra</t>
  </si>
  <si>
    <t xml:space="preserve">Richard Muirhead</t>
  </si>
  <si>
    <t xml:space="preserve">Polkadot-era to present</t>
  </si>
  <si>
    <t xml:space="preserve">London network fits your base</t>
  </si>
  <si>
    <t xml:space="preserve">Outlier Ventures</t>
  </si>
  <si>
    <t xml:space="preserve">Accelerator</t>
  </si>
  <si>
    <t xml:space="preserve">Web3 broad</t>
  </si>
  <si>
    <t xml:space="preserve">Jamie Burke</t>
  </si>
  <si>
    <t xml:space="preserve">Large accelerator cohort history</t>
  </si>
  <si>
    <t xml:space="preserve">Mentor network</t>
  </si>
  <si>
    <t xml:space="preserve">CoinShares Ventures</t>
  </si>
  <si>
    <t xml:space="preserve">London / Jersey</t>
  </si>
  <si>
    <t xml:space="preserve">Corporate VC</t>
  </si>
  <si>
    <t xml:space="preserve">Digital asset infra</t>
  </si>
  <si>
    <t xml:space="preserve">CoinShares (listed)</t>
  </si>
  <si>
    <t xml:space="preserve">ETP-adjacent bets</t>
  </si>
  <si>
    <t xml:space="preserve">ETP-house overlap with your ETC years</t>
  </si>
  <si>
    <t xml:space="preserve">KR1</t>
  </si>
  <si>
    <t xml:space="preserve">Isle of Man / UK</t>
  </si>
  <si>
    <t xml:space="preserve">Listed crypto investor</t>
  </si>
  <si>
    <t xml:space="preserve">Listed vehicle</t>
  </si>
  <si>
    <t xml:space="preserve">Tokens + equity</t>
  </si>
  <si>
    <t xml:space="preserve">Staking, protocols</t>
  </si>
  <si>
    <t xml:space="preserve">Long protocol list</t>
  </si>
  <si>
    <t xml:space="preserve">L1 Digital (L1D)</t>
  </si>
  <si>
    <t xml:space="preserve">Fund-of-funds + direct</t>
  </si>
  <si>
    <t xml:space="preserve">FoF + co-invest</t>
  </si>
  <si>
    <t xml:space="preserve">Crypto funds universe</t>
  </si>
  <si>
    <t xml:space="preserve">Ray Hindi</t>
  </si>
  <si>
    <t xml:space="preserve">Knows every fund: meta-networking</t>
  </si>
  <si>
    <t xml:space="preserve">A FoF conversation maps the whole industry</t>
  </si>
  <si>
    <t xml:space="preserve">CV VC</t>
  </si>
  <si>
    <t xml:space="preserve">Zug, CH</t>
  </si>
  <si>
    <t xml:space="preserve">Crypto-native VC + accelerator</t>
  </si>
  <si>
    <t xml:space="preserve">Crypto Valley ecosystem</t>
  </si>
  <si>
    <t xml:space="preserve">Mathias Ruch</t>
  </si>
  <si>
    <t xml:space="preserve">Signature Ventures</t>
  </si>
  <si>
    <t xml:space="preserve">Munich, DE</t>
  </si>
  <si>
    <t xml:space="preserve">Maven 11</t>
  </si>
  <si>
    <t xml:space="preserve">Amsterdam, NL</t>
  </si>
  <si>
    <t xml:space="preserve">~$120M+ funds (verify)</t>
  </si>
  <si>
    <t xml:space="preserve">DeFi, infra, credit</t>
  </si>
  <si>
    <t xml:space="preserve">Maple, credit protocols (verify)</t>
  </si>
  <si>
    <t xml:space="preserve">Lending-protocol thesis overlap</t>
  </si>
  <si>
    <t xml:space="preserve">Rockaway Blockchain Fund (RBF)</t>
  </si>
  <si>
    <t xml:space="preserve">Prague, CZ</t>
  </si>
  <si>
    <t xml:space="preserve">Seed/A</t>
  </si>
  <si>
    <t xml:space="preserve">Viktor Fischer</t>
  </si>
  <si>
    <t xml:space="preserve">Lightshift</t>
  </si>
  <si>
    <t xml:space="preserve">Lisbon, PT</t>
  </si>
  <si>
    <t xml:space="preserve">Seed + studio</t>
  </si>
  <si>
    <t xml:space="preserve">Blue Yard Capital</t>
  </si>
  <si>
    <t xml:space="preserve">Decentralization, frontier</t>
  </si>
  <si>
    <t xml:space="preserve">Ciaran O'Leary</t>
  </si>
  <si>
    <t xml:space="preserve">Protocol bets</t>
  </si>
  <si>
    <t xml:space="preserve">Hashed</t>
  </si>
  <si>
    <t xml:space="preserve">Asia</t>
  </si>
  <si>
    <t xml:space="preserve">~$570M across funds (verify)</t>
  </si>
  <si>
    <t xml:space="preserve">Seed to A; equity + tokens</t>
  </si>
  <si>
    <t xml:space="preserve">Korea + global web3, gaming</t>
  </si>
  <si>
    <t xml:space="preserve">Simon Kim</t>
  </si>
  <si>
    <t xml:space="preserve">Korean ecosystem + global bets</t>
  </si>
  <si>
    <t xml:space="preserve">Korea bridge</t>
  </si>
  <si>
    <t xml:space="preserve">HashKey Capital</t>
  </si>
  <si>
    <t xml:space="preserve">Hong Kong</t>
  </si>
  <si>
    <t xml:space="preserve">Crypto-native VC + platform</t>
  </si>
  <si>
    <t xml:space="preserve">~$1B AUM (verify)</t>
  </si>
  <si>
    <t xml:space="preserve">Asia institutional crypto</t>
  </si>
  <si>
    <t xml:space="preserve">Deng Chao</t>
  </si>
  <si>
    <t xml:space="preserve">Broad Asia portfolio</t>
  </si>
  <si>
    <t xml:space="preserve">HK licensing regime knowledge</t>
  </si>
  <si>
    <t xml:space="preserve">Animoca Brands</t>
  </si>
  <si>
    <t xml:space="preserve">Operator + investor</t>
  </si>
  <si>
    <t xml:space="preserve">400+ investments</t>
  </si>
  <si>
    <t xml:space="preserve">Gaming, metaverse-era, consumer</t>
  </si>
  <si>
    <t xml:space="preserve">Yat Siu</t>
  </si>
  <si>
    <t xml:space="preserve">Sandbox, gaming universe</t>
  </si>
  <si>
    <t xml:space="preserve">Gaming only</t>
  </si>
  <si>
    <t xml:space="preserve">Spartan Group</t>
  </si>
  <si>
    <t xml:space="preserve">Crypto-native VC + advisory</t>
  </si>
  <si>
    <t xml:space="preserve">Venture + advisory + liquid</t>
  </si>
  <si>
    <t xml:space="preserve">DeFi, gaming, infra</t>
  </si>
  <si>
    <t xml:space="preserve">Kelvin Koh</t>
  </si>
  <si>
    <t xml:space="preserve">DeFi portfolio</t>
  </si>
  <si>
    <t xml:space="preserve">Advisory arm does crypto M&amp;A - watch</t>
  </si>
  <si>
    <t xml:space="preserve">Their advisory practice overlaps your IB lane</t>
  </si>
  <si>
    <t xml:space="preserve">Foresight Ventures</t>
  </si>
  <si>
    <t xml:space="preserve">Infra, Asia-US bridge</t>
  </si>
  <si>
    <t xml:space="preserve">The Block (majority owner!)</t>
  </si>
  <si>
    <t xml:space="preserve">Media asset connection</t>
  </si>
  <si>
    <t xml:space="preserve">Owns The Block - Dudas history</t>
  </si>
  <si>
    <t xml:space="preserve">IOSG Ventures</t>
  </si>
  <si>
    <t xml:space="preserve">Singapore / Shenzhen</t>
  </si>
  <si>
    <t xml:space="preserve">Seed; research-driven</t>
  </si>
  <si>
    <t xml:space="preserve">Infra, ZK, DeFi</t>
  </si>
  <si>
    <t xml:space="preserve">Jocy Lin</t>
  </si>
  <si>
    <t xml:space="preserve">Infra-heavy portfolio</t>
  </si>
  <si>
    <t xml:space="preserve">SevenX Ventures</t>
  </si>
  <si>
    <t xml:space="preserve">Asia (distributed)</t>
  </si>
  <si>
    <t xml:space="preserve">Infra, consumer</t>
  </si>
  <si>
    <t xml:space="preserve">Fenbushi Capital</t>
  </si>
  <si>
    <t xml:space="preserve">Shanghai / Singapore</t>
  </si>
  <si>
    <t xml:space="preserve">Crypto-native VC (oldest Asia)</t>
  </si>
  <si>
    <t xml:space="preserve">Blockchain broad</t>
  </si>
  <si>
    <t xml:space="preserve">Bo Shen</t>
  </si>
  <si>
    <t xml:space="preserve">Ethereum-era history</t>
  </si>
  <si>
    <t xml:space="preserve">Ryze Labs (ex-Sino Global)</t>
  </si>
  <si>
    <t xml:space="preserve">Asia / distributed</t>
  </si>
  <si>
    <t xml:space="preserve">Solana-aligned, Asia</t>
  </si>
  <si>
    <t xml:space="preserve">Solana ecosystem</t>
  </si>
  <si>
    <t xml:space="preserve">Mirana Ventures</t>
  </si>
  <si>
    <t xml:space="preserve">Singapore / Dubai</t>
  </si>
  <si>
    <t xml:space="preserve">CVC (Bybit-affiliated)</t>
  </si>
  <si>
    <t xml:space="preserve">Exchange ecosystem</t>
  </si>
  <si>
    <t xml:space="preserve">OKX Ventures</t>
  </si>
  <si>
    <t xml:space="preserve">Hong Kong / Seychelles</t>
  </si>
  <si>
    <t xml:space="preserve">YZi Labs (ex-Binance Labs)</t>
  </si>
  <si>
    <t xml:space="preserve">Global</t>
  </si>
  <si>
    <t xml:space="preserve">CVC / incubator</t>
  </si>
  <si>
    <t xml:space="preserve">$10B era portfolio (verify)</t>
  </si>
  <si>
    <t xml:space="preserve">Equity + tokens + incubation</t>
  </si>
  <si>
    <t xml:space="preserve">BNB ecosystem + broad</t>
  </si>
  <si>
    <t xml:space="preserve">Ella Zhang era relaunch (verify)</t>
  </si>
  <si>
    <t xml:space="preserve">Massive portfolio</t>
  </si>
  <si>
    <t xml:space="preserve">US practicality low</t>
  </si>
  <si>
    <t xml:space="preserve">Rebranded from Binance Labs 2025</t>
  </si>
  <si>
    <t xml:space="preserve">SBI Investment</t>
  </si>
  <si>
    <t xml:space="preserve">CVC (SBI Group)</t>
  </si>
  <si>
    <t xml:space="preserve">Multi-fund</t>
  </si>
  <si>
    <t xml:space="preserve">Japan digital assets</t>
  </si>
  <si>
    <t xml:space="preserve">B2C2, bitbank (group deals)</t>
  </si>
  <si>
    <t xml:space="preserve">Group's bitbank/B2C2 M&amp;A = corp dev overlap</t>
  </si>
  <si>
    <t xml:space="preserve">Sora Ventures</t>
  </si>
  <si>
    <t xml:space="preserve">Taipei, TW</t>
  </si>
  <si>
    <t xml:space="preserve">Bitcoin DATs in Asia, media</t>
  </si>
  <si>
    <t xml:space="preserve">Jason Fang</t>
  </si>
  <si>
    <t xml:space="preserve">Asia DAT deals</t>
  </si>
  <si>
    <t xml:space="preserve">Hashed Emergent</t>
  </si>
  <si>
    <t xml:space="preserve">Bangalore, IN</t>
  </si>
  <si>
    <t xml:space="preserve">India web3</t>
  </si>
  <si>
    <t xml:space="preserve">Superscrypt</t>
  </si>
  <si>
    <t xml:space="preserve">Temasek-linked crypto VC</t>
  </si>
  <si>
    <t xml:space="preserve">Institutional Singapore angle</t>
  </si>
  <si>
    <t xml:space="preserve">Further Ventures</t>
  </si>
  <si>
    <t xml:space="preserve">Abu Dhabi, UAE</t>
  </si>
  <si>
    <t xml:space="preserve">MEA</t>
  </si>
  <si>
    <t xml:space="preserve">ADQ-backed VC + studio</t>
  </si>
  <si>
    <t xml:space="preserve">Venture + build</t>
  </si>
  <si>
    <t xml:space="preserve">Digital assets, fintech market infra</t>
  </si>
  <si>
    <t xml:space="preserve">Stablecoin/market-infra bets</t>
  </si>
  <si>
    <t xml:space="preserve">ADGM regime; capital-rich</t>
  </si>
  <si>
    <t xml:space="preserve">Gulf capital increasingly active in your thesis area</t>
  </si>
  <si>
    <t xml:space="preserve">Cypher Capital</t>
  </si>
  <si>
    <t xml:space="preserve">Dubai, UAE</t>
  </si>
  <si>
    <t xml:space="preserve">Apollo Crypto</t>
  </si>
  <si>
    <t xml:space="preserve">Melbourne, AU</t>
  </si>
  <si>
    <t xml:space="preserve">Oceania</t>
  </si>
  <si>
    <t xml:space="preserve">Tether Investments</t>
  </si>
  <si>
    <t xml:space="preserve">Strategic investor (CVC-like)</t>
  </si>
  <si>
    <t xml:space="preserve">$B-scale profits deployed</t>
  </si>
  <si>
    <t xml:space="preserve">Large strategic checks</t>
  </si>
  <si>
    <t xml:space="preserve">AI, energy, bitcoin mining, media, agriculture</t>
  </si>
  <si>
    <t xml:space="preserve">Paolo Ardoino</t>
  </si>
  <si>
    <t xml:space="preserve">Adecoagro (~70%), Twenty One, Rumble (verify)</t>
  </si>
  <si>
    <t xml:space="preserve">Not a hiring door; strategic weight only</t>
  </si>
  <si>
    <t xml:space="preserve">The most capital-rich strategic in crypto</t>
  </si>
  <si>
    <t xml:space="preserve">RippleX / Ripple investments</t>
  </si>
  <si>
    <t xml:space="preserve">Office (via Ripple NYC)</t>
  </si>
  <si>
    <t xml:space="preserve">CVC / ecosystem</t>
  </si>
  <si>
    <t xml:space="preserve">Equity + XRPL grants</t>
  </si>
  <si>
    <t xml:space="preserve">XRPL ecosystem, payments</t>
  </si>
  <si>
    <t xml:space="preserve">Ecosystem grants + corp dev overlap</t>
  </si>
  <si>
    <t xml:space="preserve">Enter via Ripple corp dev lane</t>
  </si>
  <si>
    <t xml:space="preserve">Double-counts with Corp Dev tab</t>
  </si>
  <si>
    <t xml:space="preserve">Stellar Development Foundation</t>
  </si>
  <si>
    <t xml:space="preserve">Enterprise Fund</t>
  </si>
  <si>
    <t xml:space="preserve">Equity + grants</t>
  </si>
  <si>
    <t xml:space="preserve">Payments, anchors, MoneyGram web</t>
  </si>
  <si>
    <t xml:space="preserve">Denelle Dixon</t>
  </si>
  <si>
    <t xml:space="preserve">MoneyGram partnership era</t>
  </si>
  <si>
    <t xml:space="preserve">Payments thesis adjacency</t>
  </si>
  <si>
    <t xml:space="preserve">Polygon Ventures</t>
  </si>
  <si>
    <t xml:space="preserve">Global / remote</t>
  </si>
  <si>
    <t xml:space="preserve">Polygon ecosystem</t>
  </si>
  <si>
    <t xml:space="preserve">Coinme buy (Polygon Labs corp dev)</t>
  </si>
  <si>
    <t xml:space="preserve">Ecosystem door</t>
  </si>
  <si>
    <t xml:space="preserve">Aptos (ecosystem investing)</t>
  </si>
  <si>
    <t xml:space="preserve">Aptos ecosystem</t>
  </si>
  <si>
    <t xml:space="preserve">Avery Ching</t>
  </si>
  <si>
    <t xml:space="preserve">CME Ventures</t>
  </si>
  <si>
    <t xml:space="preserve">Exchange CVC</t>
  </si>
  <si>
    <t xml:space="preserve">Market infrastructure</t>
  </si>
  <si>
    <t xml:space="preserve">Digital-asset infra bets</t>
  </si>
  <si>
    <t xml:space="preserve">TradFi market-structure door</t>
  </si>
  <si>
    <t xml:space="preserve">Nasdaq Ventures</t>
  </si>
  <si>
    <t xml:space="preserve">Market tech, digital assets</t>
  </si>
  <si>
    <t xml:space="preserve">Gemini placement ($50M, 2025 IPO)</t>
  </si>
  <si>
    <t xml:space="preserve">ICE / NYSE strategic</t>
  </si>
  <si>
    <t xml:space="preserve">Atlanta / NYC</t>
  </si>
  <si>
    <t xml:space="preserve">HQ (NYSE)</t>
  </si>
  <si>
    <t xml:space="preserve">Exchange strategic</t>
  </si>
  <si>
    <t xml:space="preserve">Strategic stakes</t>
  </si>
  <si>
    <t xml:space="preserve">Market infra; prediction markets</t>
  </si>
  <si>
    <t xml:space="preserve">Bakkt; Polymarket stake (2025, verify)</t>
  </si>
  <si>
    <t xml:space="preserve">Polymarket bet signals conviction</t>
  </si>
  <si>
    <t xml:space="preserve">Visa Ventures</t>
  </si>
  <si>
    <t xml:space="preserve">Payments CVC</t>
  </si>
  <si>
    <t xml:space="preserve">Stablecoin settlement, payments infra</t>
  </si>
  <si>
    <t xml:space="preserve">Cuy Sheffield (crypto lead)</t>
  </si>
  <si>
    <t xml:space="preserve">Stablecoin infra bets</t>
  </si>
  <si>
    <t xml:space="preserve">Visa crypto team hires; MBA-friendly parent</t>
  </si>
  <si>
    <t xml:space="preserve">On Corp Dev working tab as Visa</t>
  </si>
  <si>
    <t xml:space="preserve">PayPal Ventures</t>
  </si>
  <si>
    <t xml:space="preserve">Fintech, stablecoin ecosystem (PYUSD)</t>
  </si>
  <si>
    <t xml:space="preserve">Stablecoin/payments bets</t>
  </si>
  <si>
    <t xml:space="preserve">MBA-friendly parent</t>
  </si>
  <si>
    <t xml:space="preserve">On Corp Dev working tab as PayPal</t>
  </si>
  <si>
    <t xml:space="preserve">Amex Ventures</t>
  </si>
  <si>
    <t xml:space="preserve">Fintech; selective crypto</t>
  </si>
  <si>
    <t xml:space="preserve">NYC; MBA-friendly parent</t>
  </si>
  <si>
    <t xml:space="preserve">Citi Ventures</t>
  </si>
  <si>
    <t xml:space="preserve">Bank CVC</t>
  </si>
  <si>
    <t xml:space="preserve">Fintech; tokenization-curious</t>
  </si>
  <si>
    <t xml:space="preserve">Bank platform door</t>
  </si>
  <si>
    <t xml:space="preserve">SC Ventures (Standard Chartered)</t>
  </si>
  <si>
    <t xml:space="preserve">Singapore / London</t>
  </si>
  <si>
    <t xml:space="preserve">Bank venture builder</t>
  </si>
  <si>
    <t xml:space="preserve">Build + invest</t>
  </si>
  <si>
    <t xml:space="preserve">Digital assets ventures</t>
  </si>
  <si>
    <t xml:space="preserve">Built Zodia Custody &amp; Zodia Markets</t>
  </si>
  <si>
    <t xml:space="preserve">Venture-building model worth studying</t>
  </si>
  <si>
    <t xml:space="preserve">Zodia web connects to Deal Evidence</t>
  </si>
  <si>
    <t xml:space="preserve">Goldman Sachs (strategic/growth)</t>
  </si>
  <si>
    <t xml:space="preserve">Bank strategic investor</t>
  </si>
  <si>
    <t xml:space="preserve">Coin Metrics, Anchorage (verify rounds)</t>
  </si>
  <si>
    <t xml:space="preserve">GS platform door; TradFi lane</t>
  </si>
  <si>
    <t xml:space="preserve">Laser Digital (Nomura)</t>
  </si>
  <si>
    <t xml:space="preserve">London / Dubai</t>
  </si>
  <si>
    <t xml:space="preserve">Bank-owned digital assets</t>
  </si>
  <si>
    <t xml:space="preserve">Venture + trading</t>
  </si>
  <si>
    <t xml:space="preserve">Jez Mohideen</t>
  </si>
  <si>
    <t xml:space="preserve">TradFi-crypto bridge employer</t>
  </si>
  <si>
    <t xml:space="preserve">Samsung Next</t>
  </si>
  <si>
    <t xml:space="preserve">Frontier tech incl. web3</t>
  </si>
  <si>
    <t xml:space="preserve">Web3 seed bets</t>
  </si>
  <si>
    <t xml:space="preserve">Franklin Templeton (digital assets)</t>
  </si>
  <si>
    <t xml:space="preserve">Asset-manager strategic</t>
  </si>
  <si>
    <t xml:space="preserve">Fund investments + strategic</t>
  </si>
  <si>
    <t xml:space="preserve">Tokenization (BENJI), funds</t>
  </si>
  <si>
    <t xml:space="preserve">Roger Bayston (verify)</t>
  </si>
  <si>
    <t xml:space="preserve">On-chain money fund pioneer</t>
  </si>
  <si>
    <t xml:space="preserve">Asset-mgmt door; tokenization thesis</t>
  </si>
  <si>
    <t xml:space="preserve">Alliance DAO</t>
  </si>
  <si>
    <t xml:space="preserve">Remote / NYC events</t>
  </si>
  <si>
    <t xml:space="preserve">Events/cohorts in NYC</t>
  </si>
  <si>
    <t xml:space="preserve">Crypto accelerator</t>
  </si>
  <si>
    <t xml:space="preserve">Top crypto accelerator</t>
  </si>
  <si>
    <t xml:space="preserve">Qiao Wang, Imran Khan</t>
  </si>
  <si>
    <t xml:space="preserve">Strong founder network</t>
  </si>
  <si>
    <t xml:space="preserve">Their demo days = deal flow map</t>
  </si>
  <si>
    <t xml:space="preserve">Watching their cohorts = seeing next year's deals</t>
  </si>
  <si>
    <t xml:space="preserve">Colosseum</t>
  </si>
  <si>
    <t xml:space="preserve">Solana accelerator + fund</t>
  </si>
  <si>
    <t xml:space="preserve">Hackathon-to-fund</t>
  </si>
  <si>
    <t xml:space="preserve">Matty Taylor</t>
  </si>
  <si>
    <t xml:space="preserve">Solana startup pipeline</t>
  </si>
  <si>
    <t xml:space="preserve">Pairs with 6MV Solana weighting</t>
  </si>
  <si>
    <t xml:space="preserve">Orange DAO</t>
  </si>
  <si>
    <t xml:space="preserve">Remote</t>
  </si>
  <si>
    <t xml:space="preserve">YC-alumni crypto fund</t>
  </si>
  <si>
    <t xml:space="preserve">Pre-seed</t>
  </si>
  <si>
    <t xml:space="preserve">YC-network crypto founders</t>
  </si>
  <si>
    <t xml:space="preserve">a16z Crypto Startup School (CSX)</t>
  </si>
  <si>
    <t xml:space="preserve">NYC + SF</t>
  </si>
  <si>
    <t xml:space="preserve">Cohorts in NYC</t>
  </si>
  <si>
    <t xml:space="preserve">Cohort-based</t>
  </si>
  <si>
    <t xml:space="preserve">Accelerator + checks</t>
  </si>
  <si>
    <t xml:space="preserve">Crypto startups</t>
  </si>
  <si>
    <t xml:space="preserve">Cohort network</t>
  </si>
  <si>
    <t xml:space="preserve">NYC cohorts; recruiting surface</t>
  </si>
  <si>
    <t xml:space="preserve">Also an a16z relationship surface</t>
  </si>
  <si>
    <t xml:space="preserve">Maelstrom</t>
  </si>
  <si>
    <t xml:space="preserve">Family office (Arthur Hayes)</t>
  </si>
  <si>
    <t xml:space="preserve">Liquid + seed</t>
  </si>
  <si>
    <t xml:space="preserve">DeFi, infra</t>
  </si>
  <si>
    <t xml:space="preserve">Arthur Hayes</t>
  </si>
  <si>
    <t xml:space="preserve">Essays widely read; not a hiring door</t>
  </si>
  <si>
    <t xml:space="preserve">Context/reading only</t>
  </si>
  <si>
    <t xml:space="preserve">Nascent</t>
  </si>
  <si>
    <t xml:space="preserve">Remote / US</t>
  </si>
  <si>
    <t xml:space="preserve">Liquid + venture hybrid</t>
  </si>
  <si>
    <t xml:space="preserve">DeFi</t>
  </si>
  <si>
    <t xml:space="preserve">Dan Elitzer</t>
  </si>
  <si>
    <t xml:space="preserve">Not a hiring door</t>
  </si>
  <si>
    <t xml:space="preserve">Context only</t>
  </si>
  <si>
    <t xml:space="preserve">QED Investors</t>
  </si>
  <si>
    <t xml:space="preserve">Alexandria, VA</t>
  </si>
  <si>
    <t xml:space="preserve">Fintech specialist VC</t>
  </si>
  <si>
    <t xml:space="preserve">Global fintech; stablecoin-curious</t>
  </si>
  <si>
    <t xml:space="preserve">Nigel Morris</t>
  </si>
  <si>
    <t xml:space="preserve">LatAm fintech depth (Nubank etc.)</t>
  </si>
  <si>
    <t xml:space="preserve">MBA-friendly; LatAm overlap</t>
  </si>
  <si>
    <t xml:space="preserve">Brazil fintech web overlaps your background</t>
  </si>
  <si>
    <t xml:space="preserve">Bain Capital Ventures (fintech)</t>
  </si>
  <si>
    <t xml:space="preserve">Boston + NYC + SF</t>
  </si>
  <si>
    <t xml:space="preserve">Generalist w/ fintech depth</t>
  </si>
  <si>
    <t xml:space="preserve">Fintech infra; stablecoin bets</t>
  </si>
  <si>
    <t xml:space="preserve">Fintech infra portfolio</t>
  </si>
  <si>
    <t xml:space="preserve">MBA-friendly platform</t>
  </si>
  <si>
    <t xml:space="preserve">Distinct from Bain Capital Crypto</t>
  </si>
  <si>
    <t xml:space="preserve">Fin Capital</t>
  </si>
  <si>
    <t xml:space="preserve">B2B fintech; digital assets sleeve</t>
  </si>
  <si>
    <t xml:space="preserve">Logan Allin</t>
  </si>
  <si>
    <t xml:space="preserve">Clocktower Technology Ventures</t>
  </si>
  <si>
    <t xml:space="preserve">Santa Monica, CA</t>
  </si>
  <si>
    <t xml:space="preserve">Macro-fintech VC</t>
  </si>
  <si>
    <t xml:space="preserve">Fintech; LatAm program</t>
  </si>
  <si>
    <t xml:space="preserve">Ben Savage</t>
  </si>
  <si>
    <t xml:space="preserve">LatAm fintech</t>
  </si>
  <si>
    <t xml:space="preserve">LatAm angle</t>
  </si>
  <si>
    <t xml:space="preserve">Propel Venture Partners</t>
  </si>
  <si>
    <t xml:space="preserve">Fintech VC (BBVA-seeded)</t>
  </si>
  <si>
    <t xml:space="preserve">Fintech; crypto-adjacent</t>
  </si>
  <si>
    <t xml:space="preserve">Coinbase (early, verify)</t>
  </si>
  <si>
    <t xml:space="preserve">Compiled Aug 22, 2026. Src K rows carry a Jan 2026 information horizon: fund sizes, rosters, NYC-office footprints, and even fund existence MUST be verified before outreach or citation. 'n/a' means not confidently known, not zero. NYC rows are summaries - full verified detail on the VC Fund Database tab. Funds marked 'On working tab' are worked on the VC Targets tab. Priorities: S1 pursue, S2 engage, S3 track, Monitor watch, Exclude avoid.</t>
  </si>
  <si>
    <t xml:space="preserve">People Directory: Named Individuals Across All Lanes</t>
  </si>
  <si>
    <t xml:space="preserve">Named individuals across all lanes, research + universe expansion  |  Verify current role on LinkedIn before ANY outreach</t>
  </si>
  <si>
    <t xml:space="preserve">Fill in the yellow columns (G to K) as you verify and meet people.</t>
  </si>
  <si>
    <t xml:space="preserve">People:</t>
  </si>
  <si>
    <t xml:space="preserve">Person</t>
  </si>
  <si>
    <t xml:space="preserve">Role / Background</t>
  </si>
  <si>
    <t xml:space="preserve">Engagement Channel / Hook</t>
  </si>
  <si>
    <t xml:space="preserve">Personal or Columbia Tie</t>
  </si>
  <si>
    <t xml:space="preserve">LinkedIn (verified)</t>
  </si>
  <si>
    <t xml:space="preserve">Will Nuelle</t>
  </si>
  <si>
    <t xml:space="preserve">Fund I co-lead</t>
  </si>
  <si>
    <t xml:space="preserve">Galaxy Research; NYC events; CVF</t>
  </si>
  <si>
    <t xml:space="preserve">Galaxy is your dual IB + Ventures door</t>
  </si>
  <si>
    <t xml:space="preserve">Mike Giampapa</t>
  </si>
  <si>
    <t xml:space="preserve">Galaxy Research; NYC events</t>
  </si>
  <si>
    <t xml:space="preserve">Mike Novogratz</t>
  </si>
  <si>
    <t xml:space="preserve">Founder/CEO (Nasdaq: GLXY)</t>
  </si>
  <si>
    <t xml:space="preserve">Context</t>
  </si>
  <si>
    <t xml:space="preserve">Public figure; not an outreach target - know his framing of the Fund I raise</t>
  </si>
  <si>
    <t xml:space="preserve">Jake Brukhman</t>
  </si>
  <si>
    <t xml:space="preserve">Co-founder, Managing Partner/CEO (2015)</t>
  </si>
  <si>
    <t xml:space="preserve">CoinFund research and podcast; NYC events</t>
  </si>
  <si>
    <t xml:space="preserve">Brooklyn proximity: weekly-visible fund</t>
  </si>
  <si>
    <t xml:space="preserve">Alex Felix</t>
  </si>
  <si>
    <t xml:space="preserve">Managing Partner/CIO</t>
  </si>
  <si>
    <t xml:space="preserve">Research engagement</t>
  </si>
  <si>
    <t xml:space="preserve">Aleksandr Bulkin</t>
  </si>
  <si>
    <t xml:space="preserve">Co-founder</t>
  </si>
  <si>
    <t xml:space="preserve">Ash Egan</t>
  </si>
  <si>
    <t xml:space="preserve">Founder/GP; co-launched ConsenSys Ventures, ex-Accomplice</t>
  </si>
  <si>
    <t xml:space="preserve">Archebyte podcast; Archetype NYC events</t>
  </si>
  <si>
    <t xml:space="preserve">Katherine Wu</t>
  </si>
  <si>
    <t xml:space="preserve">Team; ex-Coinbase Ventures</t>
  </si>
  <si>
    <t xml:space="preserve">Content platform; NYC events</t>
  </si>
  <si>
    <t xml:space="preserve">Jesse Walden</t>
  </si>
  <si>
    <t xml:space="preserve">Co-founder; ex-a16z crypto</t>
  </si>
  <si>
    <t xml:space="preserve">Thesis essays - respond in writing</t>
  </si>
  <si>
    <t xml:space="preserve">Li Jin</t>
  </si>
  <si>
    <t xml:space="preserve">Co-GP; merged Atelier Ventures in</t>
  </si>
  <si>
    <t xml:space="preserve">Writing on ownership economy</t>
  </si>
  <si>
    <t xml:space="preserve">Brooks Gibbins</t>
  </si>
  <si>
    <t xml:space="preserve">Co-founder (2012)</t>
  </si>
  <si>
    <t xml:space="preserve">Newsletter; Layer One podcast; Stablecon</t>
  </si>
  <si>
    <t xml:space="preserve">Capital-markets DNA matches your prime-lending seat</t>
  </si>
  <si>
    <t xml:space="preserve">Gareth Jones</t>
  </si>
  <si>
    <t xml:space="preserve">Newsletter; Stablecon</t>
  </si>
  <si>
    <t xml:space="preserve">Evan Fisher</t>
  </si>
  <si>
    <t xml:space="preserve">Founder; ex-Insight Partners, ex-Goldman; Michigan Ross BBA '17</t>
  </si>
  <si>
    <t xml:space="preserve">His writing and podcasts; fundamentals framing</t>
  </si>
  <si>
    <t xml:space="preserve">Most MBA-friendly investor in the set; Insight alumni web</t>
  </si>
  <si>
    <t xml:space="preserve">Catrina Wang</t>
  </si>
  <si>
    <t xml:space="preserve">GP</t>
  </si>
  <si>
    <t xml:space="preserve">Portal content</t>
  </si>
  <si>
    <t xml:space="preserve">Mike Dudas</t>
  </si>
  <si>
    <t xml:space="preserve">Co-founder; co-founded The Block</t>
  </si>
  <si>
    <t xml:space="preserve">Highly public on X; Breakpoint keynotes</t>
  </si>
  <si>
    <t xml:space="preserve">Serge Kassardjian</t>
  </si>
  <si>
    <t xml:space="preserve">NYC events</t>
  </si>
  <si>
    <t xml:space="preserve">Haseeb Qureshi</t>
  </si>
  <si>
    <t xml:space="preserve">Managing Partner</t>
  </si>
  <si>
    <t xml:space="preserve">Rob Hadick</t>
  </si>
  <si>
    <t xml:space="preserve">General Partner</t>
  </si>
  <si>
    <t xml:space="preserve">Research; NYC events</t>
  </si>
  <si>
    <t xml:space="preserve">Tom Schmidt</t>
  </si>
  <si>
    <t xml:space="preserve">DO NOT LEAD HERE: DOJ signaled possible charges (2025) tied to a 2020 Tornado Cash investment</t>
  </si>
  <si>
    <t xml:space="preserve">Wyatt Lonergan</t>
  </si>
  <si>
    <t xml:space="preserve">Co-lead; ex-Circle Ventures</t>
  </si>
  <si>
    <t xml:space="preserve">Media-active; direct outreach viable</t>
  </si>
  <si>
    <t xml:space="preserve">Your ETC Group ETP years are the natural intro at an ETP house</t>
  </si>
  <si>
    <t xml:space="preserve">Juan Lopez</t>
  </si>
  <si>
    <t xml:space="preserve">Media-active</t>
  </si>
  <si>
    <t xml:space="preserve">Fred Wilson</t>
  </si>
  <si>
    <t xml:space="preserve">Co-founder (2003-04)</t>
  </si>
  <si>
    <t xml:space="preserve">AVC blog; USV thesis blog - they reward written outreach</t>
  </si>
  <si>
    <t xml:space="preserve">Brad Burnham</t>
  </si>
  <si>
    <t xml:space="preserve">USV / Placeholder</t>
  </si>
  <si>
    <t xml:space="preserve">USV co-founder; Placeholder venture partner</t>
  </si>
  <si>
    <t xml:space="preserve">USV thesis lineage</t>
  </si>
  <si>
    <t xml:space="preserve">Travis Scher</t>
  </si>
  <si>
    <t xml:space="preserve">Co-founder; ex-DCG VP of investments</t>
  </si>
  <si>
    <t xml:space="preserve">Podcasts and X; NIV has advertised associate roles</t>
  </si>
  <si>
    <t xml:space="preserve">Watch for a live associate seat</t>
  </si>
  <si>
    <t xml:space="preserve">James Hutchins</t>
  </si>
  <si>
    <t xml:space="preserve">Co-founder; ex-Coatue research</t>
  </si>
  <si>
    <t xml:space="preserve">Glenn Hutchins</t>
  </si>
  <si>
    <t xml:space="preserve">Chairman; Silver Lake co-founder</t>
  </si>
  <si>
    <t xml:space="preserve">Institutional gravitas; not a cold-outreach target</t>
  </si>
  <si>
    <t xml:space="preserve">Chris Burniske</t>
  </si>
  <si>
    <t xml:space="preserve">Partner; cryptoasset valuation frameworks</t>
  </si>
  <si>
    <t xml:space="preserve">Research library; podcasts - his valuation work is CVF-ready material</t>
  </si>
  <si>
    <t xml:space="preserve">Joel Monegro</t>
  </si>
  <si>
    <t xml:space="preserve">Partner; ex-USV (fat protocols thesis)</t>
  </si>
  <si>
    <t xml:space="preserve">Research library</t>
  </si>
  <si>
    <t xml:space="preserve">Mario Laul</t>
  </si>
  <si>
    <t xml:space="preserve">Head of research</t>
  </si>
  <si>
    <t xml:space="preserve">Managing Partner; ex-Bluefly, Beanstalk</t>
  </si>
  <si>
    <t xml:space="preserve">Accessible via podcasts (The Defiant)</t>
  </si>
  <si>
    <t xml:space="preserve">Gavin Wood</t>
  </si>
  <si>
    <t xml:space="preserve">Part-time GP; Polkadot founder</t>
  </si>
  <si>
    <t xml:space="preserve">Unusual signal about the firm, not an outreach path</t>
  </si>
  <si>
    <t xml:space="preserve">Michael Steinberg</t>
  </si>
  <si>
    <t xml:space="preserve">Founder; ex-SAC/Point72 PM</t>
  </si>
  <si>
    <t xml:space="preserve">Diffusion-thesis research; partner writing</t>
  </si>
  <si>
    <t xml:space="preserve">Institutional capital-markets thesis fits your background</t>
  </si>
  <si>
    <t xml:space="preserve">Craig Burel</t>
  </si>
  <si>
    <t xml:space="preserve">Partner writing</t>
  </si>
  <si>
    <t xml:space="preserve">Founder; ex-Citi head of structured products trading</t>
  </si>
  <si>
    <t xml:space="preserve">Institutional profile</t>
  </si>
  <si>
    <t xml:space="preserve">Structured-products lineage speaks your prime-lending language</t>
  </si>
  <si>
    <t xml:space="preserve">Chris Dixon</t>
  </si>
  <si>
    <t xml:space="preserve">Founder/lead of the crypto franchise; GP</t>
  </si>
  <si>
    <t xml:space="preserve">a16z crypto research; Crypto Startup School; State of Crypto</t>
  </si>
  <si>
    <t xml:space="preserve">COLUMBIA: BA and MA in philosophy - the single best alumni hook in the dataset</t>
  </si>
  <si>
    <t xml:space="preserve">Ali Yahya</t>
  </si>
  <si>
    <t xml:space="preserve">Research and podcast</t>
  </si>
  <si>
    <t xml:space="preserve">Guy Wuollet</t>
  </si>
  <si>
    <t xml:space="preserve">Research</t>
  </si>
  <si>
    <t xml:space="preserve">Eddy Lazzarin</t>
  </si>
  <si>
    <t xml:space="preserve">General Partner (newly promoted); CTO lineage</t>
  </si>
  <si>
    <t xml:space="preserve">Nic Carter</t>
  </si>
  <si>
    <t xml:space="preserve">Co-founder; On The Brink host</t>
  </si>
  <si>
    <t xml:space="preserve">Engage On The Brink FIRST; he backed Breed VC too</t>
  </si>
  <si>
    <t xml:space="preserve">Castle Island backed Talos and Coin Metrics: your post-close intro is built in</t>
  </si>
  <si>
    <t xml:space="preserve">Matt Walsh</t>
  </si>
  <si>
    <t xml:space="preserve">On The Brink</t>
  </si>
  <si>
    <t xml:space="preserve">Same post-close Talos angle</t>
  </si>
  <si>
    <t xml:space="preserve">Founder; Ethereum co-founder</t>
  </si>
  <si>
    <t xml:space="preserve">Ecosystem events; Tachyon accelerator orbit</t>
  </si>
  <si>
    <t xml:space="preserve">Ava Labs</t>
  </si>
  <si>
    <t xml:space="preserve">Co-founder/CEO</t>
  </si>
  <si>
    <t xml:space="preserve">Avalanche ecosystem events; Blizzard Fund orbit</t>
  </si>
  <si>
    <t xml:space="preserve">Founders</t>
  </si>
  <si>
    <t xml:space="preserve">Public figures; family-office VC is the relevant arm</t>
  </si>
  <si>
    <t xml:space="preserve">Founder/CEO (Stamford)</t>
  </si>
  <si>
    <t xml:space="preserve">Metro-area; Fund V reportedly targeting $1B</t>
  </si>
  <si>
    <t xml:space="preserve">50T</t>
  </si>
  <si>
    <t xml:space="preserve">Founder (Stamford/Greenwich)</t>
  </si>
  <si>
    <t xml:space="preserve">Growth-equity crossover only</t>
  </si>
  <si>
    <t xml:space="preserve">Michael Bucella</t>
  </si>
  <si>
    <t xml:space="preserve">Co-founder; ex-BlockTower</t>
  </si>
  <si>
    <t xml:space="preserve">NYC-visible and media-active despite Miami HQ</t>
  </si>
  <si>
    <t xml:space="preserve">Ryan Watkins</t>
  </si>
  <si>
    <t xml:space="preserve">Co-founder (liquid fund, NOT venture)</t>
  </si>
  <si>
    <t xml:space="preserve">Read his research; do not pitch for VC roles</t>
  </si>
  <si>
    <t xml:space="preserve">Founder</t>
  </si>
  <si>
    <t xml:space="preserve">Modest venture cadence; low priority</t>
  </si>
  <si>
    <t xml:space="preserve">Managing Partner, digital assets</t>
  </si>
  <si>
    <t xml:space="preserve">Global platform; modest cadence</t>
  </si>
  <si>
    <t xml:space="preserve">Castle Island-backed; small fund</t>
  </si>
  <si>
    <t xml:space="preserve">Second-order route into the Castle Island web</t>
  </si>
  <si>
    <t xml:space="preserve">Steve McLaughlin</t>
  </si>
  <si>
    <t xml:space="preserve">Founder/CEO</t>
  </si>
  <si>
    <t xml:space="preserve">Founder-led firm: he is the hiring decision</t>
  </si>
  <si>
    <t xml:space="preserve">Eric Risley</t>
  </si>
  <si>
    <t xml:space="preserve">Founder/Managing Partner</t>
  </si>
  <si>
    <t xml:space="preserve">M&amp;A alerts; engage the research over time</t>
  </si>
  <si>
    <t xml:space="preserve">Their alerts double as your market map</t>
  </si>
  <si>
    <t xml:space="preserve">Aryeh Bourkoff</t>
  </si>
  <si>
    <t xml:space="preserve">NYC media and TMT events</t>
  </si>
  <si>
    <t xml:space="preserve">Brandon Lutnick</t>
  </si>
  <si>
    <t xml:space="preserve">Chairman-era leadership of the franchise</t>
  </si>
  <si>
    <t xml:space="preserve">Know the DAT franchise story; digital assets group is the actual door</t>
  </si>
  <si>
    <t xml:space="preserve">Arjun Sethi</t>
  </si>
  <si>
    <t xml:space="preserve">Co-CEO</t>
  </si>
  <si>
    <t xml:space="preserve">Watch strategy hires around the IPO window</t>
  </si>
  <si>
    <t xml:space="preserve">David Ripley</t>
  </si>
  <si>
    <t xml:space="preserve">Anton Katz</t>
  </si>
  <si>
    <t xml:space="preserve">CEO</t>
  </si>
  <si>
    <t xml:space="preserve">FROZEN: no contact of any kind while Project Optimus is live; warmest door after close</t>
  </si>
  <si>
    <t xml:space="preserve">Your counterparty today; your reference tomorrow</t>
  </si>
  <si>
    <t xml:space="preserve">Matt Huang</t>
  </si>
  <si>
    <t xml:space="preserve">Co-founder/Managing Partner; ex-Sequoia</t>
  </si>
  <si>
    <t xml:space="preserve">Paradigm research and writing</t>
  </si>
  <si>
    <t xml:space="preserve">Fred Ehrsam</t>
  </si>
  <si>
    <t xml:space="preserve">Co-founder; Coinbase co-founder; reduced day-to-day role - verify</t>
  </si>
  <si>
    <t xml:space="preserve">Writing; public talks</t>
  </si>
  <si>
    <t xml:space="preserve">Katie Haun</t>
  </si>
  <si>
    <t xml:space="preserve">Founder/CEO; ex-a16z crypto GP, ex-federal prosecutor</t>
  </si>
  <si>
    <t xml:space="preserve">Policy and regulatory events</t>
  </si>
  <si>
    <t xml:space="preserve">Avichal Garg</t>
  </si>
  <si>
    <t xml:space="preserve">Co-founder; Developer Report franchise</t>
  </si>
  <si>
    <t xml:space="preserve">Developer Report engagement</t>
  </si>
  <si>
    <t xml:space="preserve">Polychain</t>
  </si>
  <si>
    <t xml:space="preserve">Founder/CEO; Coinbase employee #1</t>
  </si>
  <si>
    <t xml:space="preserve">Podcasts</t>
  </si>
  <si>
    <t xml:space="preserve">Kyle Samani</t>
  </si>
  <si>
    <t xml:space="preserve">Multicoin</t>
  </si>
  <si>
    <t xml:space="preserve">Co-founder/MP; prolific thesis writer</t>
  </si>
  <si>
    <t xml:space="preserve">Multicoin blog; Solana ecosystem</t>
  </si>
  <si>
    <t xml:space="preserve">Tushar Jain</t>
  </si>
  <si>
    <t xml:space="preserve">Co-founder/MP</t>
  </si>
  <si>
    <t xml:space="preserve">Multicoin blog</t>
  </si>
  <si>
    <t xml:space="preserve">Ben Forman</t>
  </si>
  <si>
    <t xml:space="preserve">Founder/Managing Partner; ex-KKR</t>
  </si>
  <si>
    <t xml:space="preserve">ParaFi research; NYC</t>
  </si>
  <si>
    <t xml:space="preserve">KKR-to-crypto arc parallels your TradFi-to-crypto story; NYC proximity</t>
  </si>
  <si>
    <t xml:space="preserve">Founder; fintech-crypto crossover</t>
  </si>
  <si>
    <t xml:space="preserve">Warm intros only</t>
  </si>
  <si>
    <t xml:space="preserve">Hans Morris</t>
  </si>
  <si>
    <t xml:space="preserve">Managing Partner; ex-president of Visa</t>
  </si>
  <si>
    <t xml:space="preserve">NYC fintech network</t>
  </si>
  <si>
    <t xml:space="preserve">Payments royalty; Nyca has MBA hiring precedent</t>
  </si>
  <si>
    <t xml:space="preserve">Mark Beeston</t>
  </si>
  <si>
    <t xml:space="preserve">Founder/Managing Partner; ex-ICAP</t>
  </si>
  <si>
    <t xml:space="preserve">Capital-markets fintech events</t>
  </si>
  <si>
    <t xml:space="preserve">Market-structure thesis bullseye</t>
  </si>
  <si>
    <t xml:space="preserve">Paxos backer web</t>
  </si>
  <si>
    <t xml:space="preserve">Partner</t>
  </si>
  <si>
    <t xml:space="preserve">BCC research</t>
  </si>
  <si>
    <t xml:space="preserve">Very public on X; not a conventional door</t>
  </si>
  <si>
    <t xml:space="preserve">Nathan McCauley</t>
  </si>
  <si>
    <t xml:space="preserve">Co-founder/CEO; federal bank charter</t>
  </si>
  <si>
    <t xml:space="preserve">Institutional and policy events</t>
  </si>
  <si>
    <t xml:space="preserve">Charter-bank crypto speaks your regulated-platform language</t>
  </si>
  <si>
    <t xml:space="preserve">Raghu Yarlagadda</t>
  </si>
  <si>
    <t xml:space="preserve">Institutional events</t>
  </si>
  <si>
    <t xml:space="preserve">Prime brokerage: your COR PRIME world</t>
  </si>
  <si>
    <t xml:space="preserve">Michael Shaulov</t>
  </si>
  <si>
    <t xml:space="preserve">Industry events</t>
  </si>
  <si>
    <t xml:space="preserve">Ivan Soto-Wright</t>
  </si>
  <si>
    <t xml:space="preserve">Co-founder/CEO; serial acquirer</t>
  </si>
  <si>
    <t xml:space="preserve">David Velez</t>
  </si>
  <si>
    <t xml:space="preserve">Not a cold-outreach target; know the story</t>
  </si>
  <si>
    <t xml:space="preserve">Brazil: native-market credibility</t>
  </si>
  <si>
    <t xml:space="preserve">Cuy Sheffield</t>
  </si>
  <si>
    <t xml:space="preserve">Head of crypto</t>
  </si>
  <si>
    <t xml:space="preserve">Public speaker; active on X</t>
  </si>
  <si>
    <t xml:space="preserve">Stablecoin settlement = your thesis in production</t>
  </si>
  <si>
    <t xml:space="preserve">Robbie Mitchnick</t>
  </si>
  <si>
    <t xml:space="preserve">BlackRock</t>
  </si>
  <si>
    <t xml:space="preserve">Head of digital assets</t>
  </si>
  <si>
    <t xml:space="preserve">Industry events; public interviews</t>
  </si>
  <si>
    <t xml:space="preserve">IBIT + BUIDL = tokenization thesis at scale</t>
  </si>
  <si>
    <t xml:space="preserve">Jonathan Levin</t>
  </si>
  <si>
    <t xml:space="preserve">Policy and industry events</t>
  </si>
  <si>
    <t xml:space="preserve">Charles Cascarilla</t>
  </si>
  <si>
    <t xml:space="preserve">Public on stablecoin policy</t>
  </si>
  <si>
    <t xml:space="preserve">Regulated-issuer world</t>
  </si>
  <si>
    <t xml:space="preserve">Nathan Allman</t>
  </si>
  <si>
    <t xml:space="preserve">Tokenization events; NYC</t>
  </si>
  <si>
    <t xml:space="preserve">Hany Rashwan</t>
  </si>
  <si>
    <t xml:space="preserve">Co-founder; role post-FalconX deal - verify</t>
  </si>
  <si>
    <t xml:space="preserve">Media-active historically</t>
  </si>
  <si>
    <t xml:space="preserve">Your ETP market</t>
  </si>
  <si>
    <t xml:space="preserve">Mike Belshe</t>
  </si>
  <si>
    <t xml:space="preserve">Yuval Rooz</t>
  </si>
  <si>
    <t xml:space="preserve">Digital Asset</t>
  </si>
  <si>
    <t xml:space="preserve">Institutional events; NYC</t>
  </si>
  <si>
    <t xml:space="preserve">Canton = post-trade market structure</t>
  </si>
  <si>
    <t xml:space="preserve">Limited to publicly prominent, stable figures named in the Aug 2026 research and tracker; roles change fast in this market, so ALWAYS verify on LinkedIn before outreach and log the verified profile in column G. Where a firm has a platform/careers channel, lead with the firm, not the founder. The Talos and Dragonfly caution rows are non-negotiable. Rows 63 onward added Aug 22, 2026 from general knowledge (Jan 2026 horizon) alongside the universe expansion - verify roles before outreach.</t>
  </si>
  <si>
    <t xml:space="preserve">Target Profiles: Depth per Target</t>
  </si>
  <si>
    <t xml:space="preserve">HQ / Scale</t>
  </si>
  <si>
    <t xml:space="preserve">Hiring Reality</t>
  </si>
  <si>
    <t xml:space="preserve">Entry Route &amp; People</t>
  </si>
  <si>
    <t xml:space="preserve">Watch Items</t>
  </si>
  <si>
    <t xml:space="preserve">NYC HQ; boutique scale, small associate classes</t>
  </si>
  <si>
    <t xml:space="preserve">NinjaTrader (Kraken buy), Bitnomial (sell), Reap (Payward buy); Core Scientific Ch. 11 debtors and co-sell to CoreWeave</t>
  </si>
  <si>
    <t xml:space="preserve">Structured summer associate program; RSSG restructuring recruits on a separate, MBA-heavy track</t>
  </si>
  <si>
    <t xml:space="preserve">OCR plus IBC closed lists; build 2 to 3 advocates before January</t>
  </si>
  <si>
    <t xml:space="preserve">Sept to Jan</t>
  </si>
  <si>
    <t xml:space="preserve">Flow concentrates in the Payward relationship; pitch market-structure conviction, not one client. If RSSG appeals, decide early; the tracks split</t>
  </si>
  <si>
    <t xml:space="preserve">NYC HQ; largest associate class among the EBs</t>
  </si>
  <si>
    <t xml:space="preserve">Co-lead FA to Siris on the $4.2B Equiniti sale</t>
  </si>
  <si>
    <t xml:space="preserve">Structured program; best raw odds in the EB set</t>
  </si>
  <si>
    <t xml:space="preserve">Crypto exposure is episodic; the play is brand plus optionality, not thesis density</t>
  </si>
  <si>
    <t xml:space="preserve">NYC HQ</t>
  </si>
  <si>
    <t xml:space="preserve">Voyager, Genesis, BlockFi debtor mandates; Bitfarms buy-side; Core Scientific co-sell</t>
  </si>
  <si>
    <t xml:space="preserve">Structured program; restructuring and M&amp;A staffing can cross</t>
  </si>
  <si>
    <t xml:space="preserve">Tied with PJT for most mandates in the dataset; restructuring flow is the counter-cyclical hedge if crypto M&amp;A slows</t>
  </si>
  <si>
    <t xml:space="preserve">NYC HQ; tiny class</t>
  </si>
  <si>
    <t xml:space="preserve">Celsius Ch. 11 debtor banker, ~$20M fee allocation</t>
  </si>
  <si>
    <t xml:space="preserve">Most selective of the group; generalist staffing</t>
  </si>
  <si>
    <t xml:space="preserve">Lowest odds, highest per-seat prestige; crypto is incidental to the platform</t>
  </si>
  <si>
    <t xml:space="preserve">FTX debtors banker (ran LedgerX and FTX Europe sales); Celsius creditors</t>
  </si>
  <si>
    <t xml:space="preserve">Structured program</t>
  </si>
  <si>
    <t xml:space="preserve">Estate work built the crypto muscle; ask how the market-structure franchise carries forward post-FTX</t>
  </si>
  <si>
    <t xml:space="preserve">Co-FA to FTAI on the $1.5B Long Ridge sale</t>
  </si>
  <si>
    <t xml:space="preserve">Episodic crypto; portfolio filler only</t>
  </si>
  <si>
    <t xml:space="preserve">NYC and LA; restructuring powerhouse</t>
  </si>
  <si>
    <t xml:space="preserve">Genesis creditors; creditor-side across the 2022-24 bankruptcies</t>
  </si>
  <si>
    <t xml:space="preserve">Structured; corporate finance and restructuring tracks</t>
  </si>
  <si>
    <t xml:space="preserve">Creditor-side seats see crypto in downturns, not upcycles</t>
  </si>
  <si>
    <t xml:space="preserve">Fintech coverage; no disclosed crypto credits surfaced 2024-26</t>
  </si>
  <si>
    <t xml:space="preserve">Weakest crypto evidence in Tier 1; deprioritize unless networking comes cheap</t>
  </si>
  <si>
    <t xml:space="preserve">NYC HQ; full platform, larger associate class</t>
  </si>
  <si>
    <t xml:space="preserve">Three sell-sides in 15 months (NinjaTrader, Kiavi, Long Ridge) plus FTX creditors committee</t>
  </si>
  <si>
    <t xml:space="preserve">Structured program; conversion odds better than the EBs</t>
  </si>
  <si>
    <t xml:space="preserve">Best evidence-to-accessibility ratio in the formal cycle; promoted to co-lead in your portfolio</t>
  </si>
  <si>
    <t xml:space="preserve">NYC HQ; Brandon Lutnick era</t>
  </si>
  <si>
    <t xml:space="preserve">Twenty One (Tether/SoftBank), Securitize listing, Strive buy-side on Semler ($1.4B); bitcoin financing book</t>
  </si>
  <si>
    <t xml:space="preserve">Posts MBA-level roles; less structured; the digital assets group is the target</t>
  </si>
  <si>
    <t xml:space="preserve">NYC postings plus direct outreach; name the Semler mandate in the first note</t>
  </si>
  <si>
    <t xml:space="preserve">DAT derating is the franchise risk; the Strive M&amp;A mandate shows diversification beyond SPACs</t>
  </si>
  <si>
    <t xml:space="preserve">SF HQ with NYC and London offices; a few hundred bankers</t>
  </si>
  <si>
    <t xml:space="preserve">Deribit ($2.9B), Hidden Road ($1.25B), WonderFi, Equiniti co-lead; the #1 sell-side franchise</t>
  </si>
  <si>
    <t xml:space="preserve">Hires associates directly via its Greenhouse board; apprenticeship model; postings cite blockchain and crypto knowledge</t>
  </si>
  <si>
    <t xml:space="preserve">Direct application plus outreach to the crypto vertical; founder-led (Steve McLaughlin)</t>
  </si>
  <si>
    <t xml:space="preserve">Rolling; start after the IBC resume book</t>
  </si>
  <si>
    <t xml:space="preserve">Highest crypto rep density of any seat that hires; culture is famously punishing, so diligence with former juniors before committing</t>
  </si>
  <si>
    <t xml:space="preserve">NYC HQ; Stifel-owned</t>
  </si>
  <si>
    <t xml:space="preserve">Stifel advised Riot on Block Mining; KBW crypto skews research and ECM</t>
  </si>
  <si>
    <t xml:space="preserve">FIG alumni network</t>
  </si>
  <si>
    <t xml:space="preserve">Bank-crypto convergence (charters, stablecoin issuers) could re-rate this seat quickly</t>
  </si>
  <si>
    <t xml:space="preserve">NYC; founder-led (Aryeh Bourkoff)</t>
  </si>
  <si>
    <t xml:space="preserve">Exclusive sell-side to Semler on the Strive merger; Equiniti syndicate for Siris</t>
  </si>
  <si>
    <t xml:space="preserve">Semler shows real digital-asset appetite; small intake, treat as opportunistic</t>
  </si>
  <si>
    <t xml:space="preserve">NYC HQ; NASDAQ: GLXY; IB sits beside trading, asset management, and Ventures</t>
  </si>
  <si>
    <t xml:space="preserve">Bitstamp and Aplo exclusive sell-sides</t>
  </si>
  <si>
    <t xml:space="preserve">Your single best asymmetric bet: crypto-native brand, live deal flow, a ventures arm, and a lateral-shaped profile</t>
  </si>
  <si>
    <t xml:space="preserve">Palo Alto; senior-only, roughly a dozen advisors (founder Eric Risley)</t>
  </si>
  <si>
    <t xml:space="preserve">Coinme, Caleb &amp; Brown, Magic Labs; alerts cover the whole market</t>
  </si>
  <si>
    <t xml:space="preserve">No junior program</t>
  </si>
  <si>
    <t xml:space="preserve">Relationship build: engage the research, deal-adjacent intros</t>
  </si>
  <si>
    <t xml:space="preserve">Their M&amp;A alerts double as your ongoing market map; every alert names advisors</t>
  </si>
  <si>
    <t xml:space="preserve">Berlin HQ with Singapore and Dubai; founded 2022</t>
  </si>
  <si>
    <t xml:space="preserve">Self-reported 15+ mandates in 2025, $1B+ cumulative; Bulletin, ht.digital</t>
  </si>
  <si>
    <t xml:space="preserve">No formal program; small team</t>
  </si>
  <si>
    <t xml:space="preserve">Network; the Europe angle fits your London and Brazil background</t>
  </si>
  <si>
    <t xml:space="preserve">Counts are the firm's own claims; verify mandate quality in any conversation</t>
  </si>
  <si>
    <t xml:space="preserve">NYC; advisory and Broadhaven Ventures under one roof</t>
  </si>
  <si>
    <t xml:space="preserve">BitMEX sale mandate; ErisX to Cboe</t>
  </si>
  <si>
    <t xml:space="preserve">Small team, lateral</t>
  </si>
  <si>
    <t xml:space="preserve">One relationship serves both tracks</t>
  </si>
  <si>
    <t xml:space="preserve">ProCap and Nakamoto lead FA; Stronghold sell-side</t>
  </si>
  <si>
    <t xml:space="preserve">DAT lane concentration; same derating risk as Cantor without the balance sheet</t>
  </si>
  <si>
    <t xml:space="preserve">Fort Lee, NJ (Cross River)</t>
  </si>
  <si>
    <t xml:space="preserve">Reap co-sell with Goldman Sachs (Asia)</t>
  </si>
  <si>
    <t xml:space="preserve">Speculative approach; small enough that one good conversation matters</t>
  </si>
  <si>
    <t xml:space="preserve">4 - Corp Dev</t>
  </si>
  <si>
    <t xml:space="preserve">SF HQ, remote-first; co-CEOs Arjun Sethi and David Ripley</t>
  </si>
  <si>
    <t xml:space="preserve">8+ acquisitions in 18 months (NinjaTrader, Bitnomial, Reap, Small Exchange, Magna, Magic Labs, Breakout); PJT and Jones Day outside, corp dev quarterbacking inside</t>
  </si>
  <si>
    <t xml:space="preserve">Just-in-time; tiny team; pre-IPO equity changes the comp math</t>
  </si>
  <si>
    <t xml:space="preserve">Around the IPO window</t>
  </si>
  <si>
    <t xml:space="preserve">The highest-cadence corp dev seat in crypto; your CoS and interim-CFO work is the job description</t>
  </si>
  <si>
    <t xml:space="preserve">Remote-first; corp dev and ventures are one org</t>
  </si>
  <si>
    <t xml:space="preserve">Deribit ($2.9B) plus banker-less bolt-ons: Echo, Liquifi, Iron, Spindl</t>
  </si>
  <si>
    <t xml:space="preserve">Elite in-house shop; runs structured MBA internship programs</t>
  </si>
  <si>
    <t xml:space="preserve">Fall for summer roles</t>
  </si>
  <si>
    <t xml:space="preserve">Best learning seat, hardest door; the MBA internship is the wedge</t>
  </si>
  <si>
    <t xml:space="preserve">SF and Dublin</t>
  </si>
  <si>
    <t xml:space="preserve">Bridge ($1.1B) and Privy with no bankers disclosed</t>
  </si>
  <si>
    <t xml:space="preserve">Warm intros only; payments and stablecoin thesis</t>
  </si>
  <si>
    <t xml:space="preserve">Corp dev's hardest door; treat as a two-year relationship project, not a fall application</t>
  </si>
  <si>
    <t xml:space="preserve">SF HQ with an NYC office</t>
  </si>
  <si>
    <t xml:space="preserve">Integration capacity, not sourcing, is the bottleneck; your Optimus integration work maps directly</t>
  </si>
  <si>
    <t xml:space="preserve">Purchase, NY HQ</t>
  </si>
  <si>
    <t xml:space="preserve">The most CBS-accessible corp dev door; OCR-adjacent</t>
  </si>
  <si>
    <t xml:space="preserve">TradFi comp and brand with a proven crypto mandate</t>
  </si>
  <si>
    <t xml:space="preserve">NYC HQ; CEO Anton Katz</t>
  </si>
  <si>
    <t xml:space="preserve">Cloudwall, Skolem, D3X, Coin Metrics ($100M+); principal-to-principal, Fenwick as counsel, no bankers ever disclosed</t>
  </si>
  <si>
    <t xml:space="preserve">POST-CLOSE ONLY: no networking while Project Optimus is live; afterward the warmest door available</t>
  </si>
  <si>
    <t xml:space="preserve">After close</t>
  </si>
  <si>
    <t xml:space="preserve">Their entire M&amp;A model is the skill you are demonstrating right now; discipline until signing, then move</t>
  </si>
  <si>
    <t xml:space="preserve">5 - Venture</t>
  </si>
  <si>
    <t xml:space="preserve">NYC; Fund I closed at $175M+ (Jun 2025); leads Will Nuelle and Mike Giampapa</t>
  </si>
  <si>
    <t xml:space="preserve">Thesis: stablecoins, payments, tokenization; ~30-company portfolio plan</t>
  </si>
  <si>
    <t xml:space="preserve">Small team; MBA-relevant roles rare but the platform hires</t>
  </si>
  <si>
    <t xml:space="preserve">CVF in Sept; rolling</t>
  </si>
  <si>
    <t xml:space="preserve">Their thesis is your Deal Evidence tab at the entry stage; the exit comps you built are their underwriting</t>
  </si>
  <si>
    <t xml:space="preserve">SF and remote</t>
  </si>
  <si>
    <t xml:space="preserve">Any Kraken relationship double-counts across ventures and corp dev</t>
  </si>
  <si>
    <t xml:space="preserve">Inside the Coinbase corp dev org</t>
  </si>
  <si>
    <t xml:space="preserve">Most active CVC in crypto; hundreds of portfolio companies</t>
  </si>
  <si>
    <t xml:space="preserve">Portfolio equals future M&amp;A pipeline; study it before Coinbase interviews</t>
  </si>
  <si>
    <t xml:space="preserve">Boston; founders Nic Carter and Matt Walsh</t>
  </si>
  <si>
    <t xml:space="preserve">Post-close Talos angle is a natural intro; engage the research (On The Brink) first</t>
  </si>
  <si>
    <t xml:space="preserve">The fund behind your counterparty; likely the strongest single VC relationship available to you</t>
  </si>
  <si>
    <t xml:space="preserve">NYC (founder Jake Brukhman)</t>
  </si>
  <si>
    <t xml:space="preserve">Institutional crypto VC across venture and liquid strategies</t>
  </si>
  <si>
    <t xml:space="preserve">NYC events plus CVF</t>
  </si>
  <si>
    <t xml:space="preserve">CVF in Sept</t>
  </si>
  <si>
    <t xml:space="preserve">Geography advantage: one of the few crypto funds a CBS student can see weekly</t>
  </si>
  <si>
    <t xml:space="preserve">NYC; thesis-driven</t>
  </si>
  <si>
    <t xml:space="preserve">Early Coinbase backer; crypto thesis since 2013</t>
  </si>
  <si>
    <t xml:space="preserve">Broadest thesis of the set; crypto is one lens, not the mandate</t>
  </si>
  <si>
    <t xml:space="preserve">Named individuals are limited to publicly prominent, stable figures (founders, fund leads, co-CEOs); verify current roles on LinkedIn before any outreach, and fill in group-level contacts as you meet them. Compiled Aug 21, 2026 from the conversation's deal research.</t>
  </si>
  <si>
    <t xml:space="preserve">Personal Angles: Your CV Mapped to the Target Set</t>
  </si>
  <si>
    <t xml:space="preserve">Each asset from the master CV, the one-liner that carries it, and where it lands  |  CBS Class of 2028</t>
  </si>
  <si>
    <t xml:space="preserve">Reference sheet: refine the one-liners in place as your story sharpens (yellow column F for notes).</t>
  </si>
  <si>
    <t xml:space="preserve">Asset / Experience</t>
  </si>
  <si>
    <t xml:space="preserve">The One-Liner</t>
  </si>
  <si>
    <t xml:space="preserve">Where It Lands</t>
  </si>
  <si>
    <t xml:space="preserve">How To Use It</t>
  </si>
  <si>
    <t xml:space="preserve">Cautions</t>
  </si>
  <si>
    <t xml:space="preserve">Refinements</t>
  </si>
  <si>
    <t xml:space="preserve">COR PRIME: in-house sell-side M&amp;A (live)</t>
  </si>
  <si>
    <t xml:space="preserve">I am running a sell-side process from inside the company right now: transaction model, CIM, data room, buyer Q&amp;A - with no mandated bank.</t>
  </si>
  <si>
    <t xml:space="preserve">Every IB conversation (abstracted); post-close: Talos, Castle Island, Broadhaven, Architect, FT Partners, Galaxy IB</t>
  </si>
  <si>
    <t xml:space="preserve">Until close, describe it generically ('leading an in-house strategic process at a regulated crypto prime-lending platform'). After close it becomes your headline story with names attached.</t>
  </si>
  <si>
    <t xml:space="preserve">NEVER name Project Optimus, the counterparty, or terms before signing/public disclosure. No Talos contact of any kind until close.</t>
  </si>
  <si>
    <t xml:space="preserve">ETC Group -&gt; Bitwise sale</t>
  </si>
  <si>
    <t xml:space="preserve">I prepped the sale of a $2B-AUM crypto ETP issuer and was retained by the CEO through its acquisition by Bitwise - a deal that sits in this tracker's own Deal Evidence tab (Aug 2024).</t>
  </si>
  <si>
    <t xml:space="preserve">All crypto M&amp;A conversations; VanEck Ventures (ETP house); Bitwise network; Architect Partners (they track every deal)</t>
  </si>
  <si>
    <t xml:space="preserve">You were inside one of the dataset's transactions. Use it to prove crypto M&amp;A is not a thesis for you - it is a track record.</t>
  </si>
  <si>
    <t xml:space="preserve">Only public facts: the acquisition itself is public; valuation work and internal terms are not.</t>
  </si>
  <si>
    <t xml:space="preserve">Prime brokerage / lending domain</t>
  </si>
  <si>
    <t xml:space="preserve">Loan-book economics, funding costs, net interest margin, institutional counterparties - the market-structure layer most MBAs have never touched.</t>
  </si>
  <si>
    <t xml:space="preserve">Galaxy (all arms), Ripple (Hidden Road/Ripple Prime), Fintech Collective, Reciprocal, Hivemind, North Island</t>
  </si>
  <si>
    <t xml:space="preserve">Anchor your stablecoins / market-structure thesis in operating reality, not just research.</t>
  </si>
  <si>
    <t xml:space="preserve">Brasilpar: Gol/Smiles + 10 mandates</t>
  </si>
  <si>
    <t xml:space="preserve">Executed 10+ M&amp;A mandates end-to-end at a Sao Paulo boutique, including advising Gol alongside Morgan Stanley on the take-in of its listed loyalty subsidiary.</t>
  </si>
  <si>
    <t xml:space="preserve">All Tier 1 OCR conversations; Jefferies, Evercore, Moelis; fairness-opinion story for Lazard</t>
  </si>
  <si>
    <t xml:space="preserve">This is the classic IB anchor story: public-company merger, fairness opinion, board exposure, at analyst age.</t>
  </si>
  <si>
    <t xml:space="preserve">Know the Smiles deal cold - structure, rationale, outcome - before the first coffee chat.</t>
  </si>
  <si>
    <t xml:space="preserve">ETC Group: ETP launches + tokenization build</t>
  </si>
  <si>
    <t xml:space="preserve">Launched an ETH staking ETP and an MSCI-benchmarked index ETP with regulatory approvals, and led a regulated equity-tokenization platform build.</t>
  </si>
  <si>
    <t xml:space="preserve">VanEck Ventures (perfect overlap), Figure, Circle, a16z crypto (Fund 5 tokenization thesis), Galaxy</t>
  </si>
  <si>
    <t xml:space="preserve">The tokenization thesis every 2026 fund cites - you have actually shipped against it.</t>
  </si>
  <si>
    <t xml:space="preserve">The tokenization platform was deprioritized by shareholders; frame as learning, have the 'why' ready.</t>
  </si>
  <si>
    <t xml:space="preserve">Nebula Ventures: family office principal</t>
  </si>
  <si>
    <t xml:space="preserve">Principal at a tech family office: interim COO of a portfolio company, board seat, org restructuring across five countries.</t>
  </si>
  <si>
    <t xml:space="preserve">VC platform/operating roles; corp dev (Kraken, Ripple integration angle); Portal and pre-seed funds (founder empathy)</t>
  </si>
  <si>
    <t xml:space="preserve">Proves you can be dropped into a company and run it - the corp dev integration and VC platform skillset.</t>
  </si>
  <si>
    <t xml:space="preserve">Quant digital-asset trading venture</t>
  </si>
  <si>
    <t xml:space="preserve">Co-founded a quantitative digital-asset trading venture (2024-present).</t>
  </si>
  <si>
    <t xml:space="preserve">Market-structure conversations; liquid-adjacent funds (CoinFund, Dragonfly, Hivemind); Syncracy research chats</t>
  </si>
  <si>
    <t xml:space="preserve">Signals market-native credibility; pairs with the Duke DeFi and INSEAD blockchain certifications.</t>
  </si>
  <si>
    <t xml:space="preserve">Be ready for sharp questions on strategy and PnL; do not overclaim scale.</t>
  </si>
  <si>
    <t xml:space="preserve">Brazil / LatAm + Portuguese</t>
  </si>
  <si>
    <t xml:space="preserve">Native Portuguese, Sao Paulo M&amp;A training, dual-market fluency.</t>
  </si>
  <si>
    <t xml:space="preserve">Valor Capital (US-Brazil crossover); any fund discussing LatAm rails; the Tether/Adecoagro tender is a ready conversation piece</t>
  </si>
  <si>
    <t xml:space="preserve">Differentiated in NYC; almost no crypto-VC associates carry real LatAm execution experience.</t>
  </si>
  <si>
    <t xml:space="preserve">London / Europe network</t>
  </si>
  <si>
    <t xml:space="preserve">Four years operating in London crypto: ETC Group, Blockspace, COR PRIME, Deus X Capital orbit.</t>
  </si>
  <si>
    <t xml:space="preserve">Areta, Aream &amp; Co, White Star DAF, KBW convergence plays; European LP and market-maker relationships</t>
  </si>
  <si>
    <t xml:space="preserve">Second geography of warm intros; useful for Europe-weighted mandates and funds.</t>
  </si>
  <si>
    <t xml:space="preserve">US citizen, no sponsorship</t>
  </si>
  <si>
    <t xml:space="preserve">US citizen; no visa sponsorship required.</t>
  </si>
  <si>
    <t xml:space="preserve">Everywhere - state it early with small firms</t>
  </si>
  <si>
    <t xml:space="preserve">Removes the #1 friction small firms have with international-profile candidates. Put it on every application.</t>
  </si>
  <si>
    <t xml:space="preserve">Certifications + writing surface</t>
  </si>
  <si>
    <t xml:space="preserve">Duke DeFi Specialization; INSEAD Blockchain, Cryptoassets &amp; DeFi.</t>
  </si>
  <si>
    <t xml:space="preserve">Writing-first funds (Variant, USV, Portal); CVF application material</t>
  </si>
  <si>
    <t xml:space="preserve">Feed these into written outreach - the funds that reward writing are on your Stage 1 list.</t>
  </si>
  <si>
    <t xml:space="preserve">Certs support the story; they are not the story.</t>
  </si>
  <si>
    <t xml:space="preserve">Crypto-community fundraising (FIP cats)</t>
  </si>
  <si>
    <t xml:space="preserve">Founded a crypto-community initiative that financed FIP treatment for 50+ cats in Brazil.</t>
  </si>
  <si>
    <t xml:space="preserve">Any conversation that needs a human moment; consumer-crypto funds (6MV)</t>
  </si>
  <si>
    <t xml:space="preserve">Memorable, verifiable, and community-native - exactly the texture cold outreach usually lacks.</t>
  </si>
  <si>
    <t xml:space="preserve">CBS platform</t>
  </si>
  <si>
    <t xml:space="preserve">CBS Class of 2028; IBC + Fintech Club from day one; CVF opens ~Aug 28; gm3308@gsb.columbia.edu.</t>
  </si>
  <si>
    <t xml:space="preserve">Chris Dixon (Columbia BA/MA) is the marquee alumni hook; CVF is the VC-lane vehicle; CMC portal for OCR</t>
  </si>
  <si>
    <t xml:space="preserve">Work the Timeline tab: club fair first week, EIS sessions in Sept, IBC resume book Sept-Oct.</t>
  </si>
  <si>
    <t xml:space="preserve">Keep the VC endgame out of Tier 1 IB conversations (see VC Targets footer).</t>
  </si>
  <si>
    <t xml:space="preserve">Assets drawn from George_CV_Master.docx (Jul 2026). Bracketed [X] figures in the CV must be finalized before any line here is used live. Confidentiality rules: no Project Optimus references before signing; only public facts on the ETC Group/Bitwise transaction; abstract the COR PRIME process until close.</t>
  </si>
  <si>
    <t xml:space="preserve">Advisor League Table: Disclosed Crypto M&amp;A Mandates, Jan 2024 to Aug 2026</t>
  </si>
  <si>
    <t xml:space="preserve">Sell-side</t>
  </si>
  <si>
    <t xml:space="preserve">Buy-side</t>
  </si>
  <si>
    <t xml:space="preserve">Rx / DAT</t>
  </si>
  <si>
    <t xml:space="preserve">Total</t>
  </si>
  <si>
    <t xml:space="preserve">Marquee mandates</t>
  </si>
  <si>
    <t xml:space="preserve">Read</t>
  </si>
  <si>
    <t xml:space="preserve">4</t>
  </si>
  <si>
    <t xml:space="preserve">Deribit, Hidden Road, WonderFi, Equiniti (co-lead)</t>
  </si>
  <si>
    <t xml:space="preserve">#1 sell-side franchise; on nearly every marquee exit</t>
  </si>
  <si>
    <t xml:space="preserve">5</t>
  </si>
  <si>
    <t xml:space="preserve">NinjaTrader + Reap (buy); Bitnomial + Core Scientific (sell); Core Scientific Ch. 11</t>
  </si>
  <si>
    <t xml:space="preserve">Payward engine plus restructuring depth</t>
  </si>
  <si>
    <t xml:space="preserve">Voyager, Genesis, BlockFi debtors; Bitfarms buy; Core Scientific co-sell</t>
  </si>
  <si>
    <t xml:space="preserve">Restructuring franchise leader plus miner M&amp;A</t>
  </si>
  <si>
    <t xml:space="preserve">NinjaTrader, Kiavi, Long Ridge sell-sides; FTX creditors committee</t>
  </si>
  <si>
    <t xml:space="preserve">Steadiest all-rounder; easiest structured seat to win</t>
  </si>
  <si>
    <t xml:space="preserve">3</t>
  </si>
  <si>
    <t xml:space="preserve">Twenty One, Securitize; buy-side FA to Strive on Semler ($1.4B)</t>
  </si>
  <si>
    <t xml:space="preserve">DAT co-leader, now with a real M&amp;A mandate</t>
  </si>
  <si>
    <t xml:space="preserve">3+</t>
  </si>
  <si>
    <t xml:space="preserve">Coinme, Caleb &amp; Brown, Magic Labs</t>
  </si>
  <si>
    <t xml:space="preserve">The mid-market crypto-native franchise</t>
  </si>
  <si>
    <t xml:space="preserve">Stronghold sell; ProCap and Nakamoto lead FA</t>
  </si>
  <si>
    <t xml:space="preserve">DAT lane co-leader</t>
  </si>
  <si>
    <t xml:space="preserve">Galaxy Digital Partners</t>
  </si>
  <si>
    <t xml:space="preserve">2</t>
  </si>
  <si>
    <t xml:space="preserve">Bitstamp, Aplo (both exclusive sell-sides)</t>
  </si>
  <si>
    <t xml:space="preserve">Crypto-native platform converting to real sell-sides</t>
  </si>
  <si>
    <t xml:space="preserve">Semler sell-side (exclusive); Equiniti syndicate seat</t>
  </si>
  <si>
    <t xml:space="preserve">Semler upgrades it from syndicate seat to lead credit</t>
  </si>
  <si>
    <t xml:space="preserve">FTX debtors, Celsius creditors</t>
  </si>
  <si>
    <t xml:space="preserve">Restructuring credibility on the biggest estates</t>
  </si>
  <si>
    <t xml:space="preserve">15+ (self)</t>
  </si>
  <si>
    <t xml:space="preserve">Bulletin sell; Bridgepoint/ht.digital buy</t>
  </si>
  <si>
    <t xml:space="preserve">Emerging; Europe-weighted, smaller tickets; count is the firm's own claim</t>
  </si>
  <si>
    <t xml:space="preserve">1</t>
  </si>
  <si>
    <t xml:space="preserve">Equiniti co-lead for Siris</t>
  </si>
  <si>
    <t xml:space="preserve">Real but episodic</t>
  </si>
  <si>
    <t xml:space="preserve">FTAI/Long Ridge co-sell</t>
  </si>
  <si>
    <t xml:space="preserve">Episodic</t>
  </si>
  <si>
    <t xml:space="preserve">Celsius debtors (~$20M fee allocation)</t>
  </si>
  <si>
    <t xml:space="preserve">Restructuring one-off, big fee</t>
  </si>
  <si>
    <t xml:space="preserve">Genesis creditors</t>
  </si>
  <si>
    <t xml:space="preserve">Creditor-side</t>
  </si>
  <si>
    <t xml:space="preserve">MARA/Long Ridge co-buy with Barclays</t>
  </si>
  <si>
    <t xml:space="preserve">Research shop with a real FA credit</t>
  </si>
  <si>
    <t xml:space="preserve">Lincoln International</t>
  </si>
  <si>
    <t xml:space="preserve">GRIID sell-side FA and fairness opinion (CleanSpark)</t>
  </si>
  <si>
    <t xml:space="preserve">Mid-market generalist with a mining credit</t>
  </si>
  <si>
    <t xml:space="preserve">BitMEX sale mandate</t>
  </si>
  <si>
    <t xml:space="preserve">Specialist; process under way</t>
  </si>
  <si>
    <t xml:space="preserve">Reap co-sell with Goldman Asia</t>
  </si>
  <si>
    <t xml:space="preserve">New entrant</t>
  </si>
  <si>
    <t xml:space="preserve">Stifel (KBW)</t>
  </si>
  <si>
    <t xml:space="preserve">Riot/Block Mining buy</t>
  </si>
  <si>
    <t xml:space="preserve">Crypto work skews research and ECM</t>
  </si>
  <si>
    <t xml:space="preserve">XMS Capital</t>
  </si>
  <si>
    <t xml:space="preserve">Block Mining sell</t>
  </si>
  <si>
    <t xml:space="preserve">One-off</t>
  </si>
  <si>
    <t xml:space="preserve">BB reference:</t>
  </si>
  <si>
    <t xml:space="preserve">Goldman Sachs</t>
  </si>
  <si>
    <t xml:space="preserve">GTreasury, Reap-Asia (sell); CoreWeave, Bullish, NEOS (buy)</t>
  </si>
  <si>
    <t xml:space="preserve">Biggest tickets; crypto a subset of a huge platform</t>
  </si>
  <si>
    <t xml:space="preserve">Barclays</t>
  </si>
  <si>
    <t xml:space="preserve">NEOS (sell); Bitstamp, Kiavi, Long Ridge (buy) plus bridge financing</t>
  </si>
  <si>
    <t xml:space="preserve">Most active BB by a wide margin</t>
  </si>
  <si>
    <t xml:space="preserve">JPMorgan</t>
  </si>
  <si>
    <t xml:space="preserve">Adecoagro sell-side (Tether tender); Robinhood/WonderFi buy</t>
  </si>
  <si>
    <t xml:space="preserve">Two credits, both notable</t>
  </si>
  <si>
    <t xml:space="preserve">Citigroup</t>
  </si>
  <si>
    <t xml:space="preserve">Securitize FA and co-placement</t>
  </si>
  <si>
    <t xml:space="preserve">DAT entry</t>
  </si>
  <si>
    <t xml:space="preserve">Counts reflect disclosed financial advisor mandates only (announced Jan 2024 to Aug 2026), per press releases, firm tombstones, SEC filings, and deal research through Aug 21, 2026. Rx / DAT column combines restructuring and treasury/de-SPAC mandates. Undisclosed-advisor deals (Stripe/Bridge, Mastercard/BVNK, Talos/Coin Metrics, SBI/bitbank, and most sub-$100M deals) are excluded, so boutique counts understate true activity.</t>
  </si>
  <si>
    <t xml:space="preserve">Deal Evidence: Advisor Attributions by Transaction</t>
  </si>
  <si>
    <t xml:space="preserve">Announced</t>
  </si>
  <si>
    <t xml:space="preserve">Acquirer / Situation</t>
  </si>
  <si>
    <t xml:space="preserve">Target / Company</t>
  </si>
  <si>
    <t xml:space="preserve">Value</t>
  </si>
  <si>
    <t xml:space="preserve">Sell-side / Debtor FA</t>
  </si>
  <si>
    <t xml:space="preserve">Buy-side / Creditor FA</t>
  </si>
  <si>
    <t xml:space="preserve">Legal / Notes</t>
  </si>
  <si>
    <t xml:space="preserve">Apr 2024</t>
  </si>
  <si>
    <t xml:space="preserve">Strategic</t>
  </si>
  <si>
    <t xml:space="preserve">Cloudwall</t>
  </si>
  <si>
    <t xml:space="preserve">Undisclosed</t>
  </si>
  <si>
    <t xml:space="preserve">Risk management bolt-on</t>
  </si>
  <si>
    <t xml:space="preserve">May 2024</t>
  </si>
  <si>
    <t xml:space="preserve">Skolem</t>
  </si>
  <si>
    <t xml:space="preserve">Institutional DeFi infrastructure bolt-on</t>
  </si>
  <si>
    <t xml:space="preserve">Jun 2024</t>
  </si>
  <si>
    <t xml:space="preserve">Bitstamp</t>
  </si>
  <si>
    <t xml:space="preserve">$200M</t>
  </si>
  <si>
    <t xml:space="preserve">Galaxy Digital Partners (excl.)</t>
  </si>
  <si>
    <t xml:space="preserve">Barclays (excl.)</t>
  </si>
  <si>
    <t xml:space="preserve">Closed Jun 2025</t>
  </si>
  <si>
    <t xml:space="preserve">GRIID Infrastructure</t>
  </si>
  <si>
    <t xml:space="preserve">$155M EV</t>
  </si>
  <si>
    <t xml:space="preserve">Lincoln International (FA + fairness)</t>
  </si>
  <si>
    <t xml:space="preserve">Cozen O'Connor (CleanSpark); Troutman Pepper (GRIID); closed Oct 2024</t>
  </si>
  <si>
    <t xml:space="preserve">Jul 2024</t>
  </si>
  <si>
    <t xml:space="preserve">Block Mining</t>
  </si>
  <si>
    <t xml:space="preserve">$92.5M</t>
  </si>
  <si>
    <t xml:space="preserve">XMS Capital (excl.)</t>
  </si>
  <si>
    <t xml:space="preserve">Stifel (excl.)</t>
  </si>
  <si>
    <t xml:space="preserve">Greenberg Traurig (Riot); Winston &amp; Strawn (Block Mining)</t>
  </si>
  <si>
    <t xml:space="preserve">Aug 2024</t>
  </si>
  <si>
    <t xml:space="preserve">Bitfarms</t>
  </si>
  <si>
    <t xml:space="preserve">Stronghold Digital</t>
  </si>
  <si>
    <t xml:space="preserve">$125M</t>
  </si>
  <si>
    <t xml:space="preserve">ETC Group</t>
  </si>
  <si>
    <t xml:space="preserve">Latham (Bitwise); US-Europe ETP consolidation</t>
  </si>
  <si>
    <t xml:space="preserve">Bridge</t>
  </si>
  <si>
    <t xml:space="preserve">$1.1B</t>
  </si>
  <si>
    <t xml:space="preserve">Wilson Sonsini (Stripe); largely relationship-driven</t>
  </si>
  <si>
    <t xml:space="preserve">Mar 2025</t>
  </si>
  <si>
    <t xml:space="preserve">Kraken (Payward)</t>
  </si>
  <si>
    <t xml:space="preserve">NinjaTrader</t>
  </si>
  <si>
    <t xml:space="preserve">$1.5B</t>
  </si>
  <si>
    <t xml:space="preserve">Jones Day, Lowenstein (Kraken); Choate, Katten (NinjaTrader)</t>
  </si>
  <si>
    <t xml:space="preserve">Adecoagro (~70%)</t>
  </si>
  <si>
    <t xml:space="preserve">~$615.5M tender</t>
  </si>
  <si>
    <t xml:space="preserve">JPMorgan (excl.)</t>
  </si>
  <si>
    <t xml:space="preserve">Davis Polk, Elvinger Hoss (Adecoagro); McDermott (Tether); closed Apr 2025</t>
  </si>
  <si>
    <t xml:space="preserve">Apr 2025</t>
  </si>
  <si>
    <t xml:space="preserve">Hidden Road</t>
  </si>
  <si>
    <t xml:space="preserve">$1.25B</t>
  </si>
  <si>
    <t xml:space="preserve">Closed Oct 2025; rebranded Ripple Prime</t>
  </si>
  <si>
    <t xml:space="preserve">May 2025</t>
  </si>
  <si>
    <t xml:space="preserve">Deribit</t>
  </si>
  <si>
    <t xml:space="preserve">$2.9B ($3.9-4.3B at close)</t>
  </si>
  <si>
    <t xml:space="preserve">Latham (Coinbase); Willkie (Deribit)</t>
  </si>
  <si>
    <t xml:space="preserve">WonderFi</t>
  </si>
  <si>
    <t xml:space="preserve">C$250M</t>
  </si>
  <si>
    <t xml:space="preserve">Closed Jun 2026</t>
  </si>
  <si>
    <t xml:space="preserve">Jul 2025</t>
  </si>
  <si>
    <t xml:space="preserve">CoreWeave</t>
  </si>
  <si>
    <t xml:space="preserve">$9B</t>
  </si>
  <si>
    <t xml:space="preserve">Moelis + PJT Partners</t>
  </si>
  <si>
    <t xml:space="preserve">Wachtell (Core Sci); Davis Polk, Kirkland (CoreWeave)</t>
  </si>
  <si>
    <t xml:space="preserve">Coin Metrics</t>
  </si>
  <si>
    <t xml:space="preserve">$100M+</t>
  </si>
  <si>
    <t xml:space="preserve">Fenwick (Talos); direct CEO-to-CEO process per Fortune</t>
  </si>
  <si>
    <t xml:space="preserve">Aug 2025</t>
  </si>
  <si>
    <t xml:space="preserve">Rail</t>
  </si>
  <si>
    <t xml:space="preserve">Sep 2025</t>
  </si>
  <si>
    <t xml:space="preserve">Coincheck</t>
  </si>
  <si>
    <t xml:space="preserve">Aplo</t>
  </si>
  <si>
    <t xml:space="preserve">Stock-for-stock; completed Oct 2025</t>
  </si>
  <si>
    <t xml:space="preserve">Oct 2025</t>
  </si>
  <si>
    <t xml:space="preserve">GTreasury</t>
  </si>
  <si>
    <t xml:space="preserve">$1B</t>
  </si>
  <si>
    <t xml:space="preserve">Goldman Sachs (excl., for Hg)</t>
  </si>
  <si>
    <t xml:space="preserve">Morrison Foerster (Hg); Gunderson Dettmer (Ripple)</t>
  </si>
  <si>
    <t xml:space="preserve">Echo</t>
  </si>
  <si>
    <t xml:space="preserve">$375M</t>
  </si>
  <si>
    <t xml:space="preserve">Latham (Coinbase)</t>
  </si>
  <si>
    <t xml:space="preserve">Small Exchange</t>
  </si>
  <si>
    <t xml:space="preserve">$100M</t>
  </si>
  <si>
    <t xml:space="preserve">Jan 2026</t>
  </si>
  <si>
    <t xml:space="preserve">Polygon Labs</t>
  </si>
  <si>
    <t xml:space="preserve">Coinme + Sequence</t>
  </si>
  <si>
    <t xml:space="preserve">~$250M combined</t>
  </si>
  <si>
    <t xml:space="preserve">Architect Partners (Coinme, excl.)</t>
  </si>
  <si>
    <t xml:space="preserve">Feb 2026</t>
  </si>
  <si>
    <t xml:space="preserve">Payward</t>
  </si>
  <si>
    <t xml:space="preserve">Magna</t>
  </si>
  <si>
    <t xml:space="preserve">Mar 2026</t>
  </si>
  <si>
    <t xml:space="preserve">Up to $1.8B</t>
  </si>
  <si>
    <t xml:space="preserve">Skadden (BVNK); Wilson Sonsini (Mastercard, privacy); closed Aug 3, 2026</t>
  </si>
  <si>
    <t xml:space="preserve">Apr 2026</t>
  </si>
  <si>
    <t xml:space="preserve">BC Payments (Australia)</t>
  </si>
  <si>
    <t xml:space="preserve">License-driven</t>
  </si>
  <si>
    <t xml:space="preserve">Bitnomial</t>
  </si>
  <si>
    <t xml:space="preserve">Up to $550M</t>
  </si>
  <si>
    <t xml:space="preserve">PJT Partners (excl.)</t>
  </si>
  <si>
    <t xml:space="preserve">Haynes Boone, Katten (Bitnomial); Jones Day, Morrison Foerster (Payward); closed May 1</t>
  </si>
  <si>
    <t xml:space="preserve">MARA</t>
  </si>
  <si>
    <t xml:space="preserve">Long Ridge (FTAI)</t>
  </si>
  <si>
    <t xml:space="preserve">Jefferies + Lazard</t>
  </si>
  <si>
    <t xml:space="preserve">Barclays + Compass Point</t>
  </si>
  <si>
    <t xml:space="preserve">Paul Weiss, Sidley (MARA); Skadden (FTAI); Barclays bridge loan</t>
  </si>
  <si>
    <t xml:space="preserve">May 2026</t>
  </si>
  <si>
    <t xml:space="preserve">Equiniti (Siris)</t>
  </si>
  <si>
    <t xml:space="preserve">$4.2B</t>
  </si>
  <si>
    <t xml:space="preserve">Evercore + FT Partners (leads); Wells Fargo, LionTree</t>
  </si>
  <si>
    <t xml:space="preserve">Goldman Sachs (excl.)</t>
  </si>
  <si>
    <t xml:space="preserve">Morgan Lewis, A&amp;M (Bullish); Sidley (Siris)</t>
  </si>
  <si>
    <t xml:space="preserve">Reap</t>
  </si>
  <si>
    <t xml:space="preserve">Up to $600M</t>
  </si>
  <si>
    <t xml:space="preserve">CRB Securities + Goldman Sachs (Asia)</t>
  </si>
  <si>
    <t xml:space="preserve">Latham (Reap); Jones Day, Drew &amp; Napier (Payward); closed Jul 1</t>
  </si>
  <si>
    <t xml:space="preserve">Zodia Custody</t>
  </si>
  <si>
    <t xml:space="preserve">Minority buyout; close targeted end Aug 2026</t>
  </si>
  <si>
    <t xml:space="preserve">Jun 2026</t>
  </si>
  <si>
    <t xml:space="preserve">Kiavi</t>
  </si>
  <si>
    <t xml:space="preserve">$717M</t>
  </si>
  <si>
    <t xml:space="preserve">Barclays (excl., Figure/Sixth Street)</t>
  </si>
  <si>
    <t xml:space="preserve">Latham (Figure); Wilson Sonsini (Kiavi); Simpson Thacher (financing)</t>
  </si>
  <si>
    <t xml:space="preserve">SBI Holdings</t>
  </si>
  <si>
    <t xml:space="preserve">bitbank</t>
  </si>
  <si>
    <t xml:space="preserve">$289M</t>
  </si>
  <si>
    <t xml:space="preserve">Close expected ~Oct 2026</t>
  </si>
  <si>
    <t xml:space="preserve">Jul 2026</t>
  </si>
  <si>
    <t xml:space="preserve">Mirae Asset</t>
  </si>
  <si>
    <t xml:space="preserve">Korbit</t>
  </si>
  <si>
    <t xml:space="preserve">$91.5M</t>
  </si>
  <si>
    <t xml:space="preserve">Completed Jul 2026</t>
  </si>
  <si>
    <t xml:space="preserve">Magic Labs (wallet biz)</t>
  </si>
  <si>
    <t xml:space="preserve">Architect Partners (excl.)</t>
  </si>
  <si>
    <t xml:space="preserve">Aug 2026</t>
  </si>
  <si>
    <t xml:space="preserve">OpenFX</t>
  </si>
  <si>
    <t xml:space="preserve">Global Ledger</t>
  </si>
  <si>
    <t xml:space="preserve">Adjacent</t>
  </si>
  <si>
    <t xml:space="preserve">NEOS Investments</t>
  </si>
  <si>
    <t xml:space="preserve">Up to $2.25B</t>
  </si>
  <si>
    <t xml:space="preserve">GS Global Banking &amp; Markets</t>
  </si>
  <si>
    <t xml:space="preserve">Wachtell, Willkie (GS); Ropes &amp; Gray (NEOS); crypto-adjacent ETF deal</t>
  </si>
  <si>
    <t xml:space="preserve">Jan 2024</t>
  </si>
  <si>
    <t xml:space="preserve">Restructuring</t>
  </si>
  <si>
    <t xml:space="preserve">Ch. 11 emergence</t>
  </si>
  <si>
    <t xml:space="preserve">PJT Partners (debtors)</t>
  </si>
  <si>
    <t xml:space="preserve">Weil, AlixPartners</t>
  </si>
  <si>
    <t xml:space="preserve">Celsius</t>
  </si>
  <si>
    <t xml:space="preserve">Centerview (debtors)</t>
  </si>
  <si>
    <t xml:space="preserve">Perella Weinberg (creditors)</t>
  </si>
  <si>
    <t xml:space="preserve">Kirkland, A&amp;M; ~$20.1M Centerview fee allocation</t>
  </si>
  <si>
    <t xml:space="preserve">Plan completed</t>
  </si>
  <si>
    <t xml:space="preserve">Genesis Global</t>
  </si>
  <si>
    <t xml:space="preserve">Moelis (debtors)</t>
  </si>
  <si>
    <t xml:space="preserve">Houlihan Lokey (creditors)</t>
  </si>
  <si>
    <t xml:space="preserve">Cleary, A&amp;M; White &amp; Case</t>
  </si>
  <si>
    <t xml:space="preserve">Plan confirmed</t>
  </si>
  <si>
    <t xml:space="preserve">FTX</t>
  </si>
  <si>
    <t xml:space="preserve">Perella Weinberg (debtors)</t>
  </si>
  <si>
    <t xml:space="preserve">Jefferies (creditors)</t>
  </si>
  <si>
    <t xml:space="preserve">Sullivan &amp; Cromwell, A&amp;M; Paul Hastings, FTI</t>
  </si>
  <si>
    <t xml:space="preserve">2023-24</t>
  </si>
  <si>
    <t xml:space="preserve">Wind-down</t>
  </si>
  <si>
    <t xml:space="preserve">Voyager Digital</t>
  </si>
  <si>
    <t xml:space="preserve">Kirkland, BRG</t>
  </si>
  <si>
    <t xml:space="preserve">BlockFi</t>
  </si>
  <si>
    <t xml:space="preserve">Kirkland, Haynes Boone, BRG</t>
  </si>
  <si>
    <t xml:space="preserve">DAT / de-SPAC</t>
  </si>
  <si>
    <t xml:space="preserve">Cantor Equity Partners</t>
  </si>
  <si>
    <t xml:space="preserve">Twenty One Capital</t>
  </si>
  <si>
    <t xml:space="preserve">Cantor Fitzgerald (FA + placement)</t>
  </si>
  <si>
    <t xml:space="preserve">Skadden (Twenty One, Tether); NYSE: XXI Dec 2025</t>
  </si>
  <si>
    <t xml:space="preserve">Jun 2025</t>
  </si>
  <si>
    <t xml:space="preserve">Columbus Circle Capital I</t>
  </si>
  <si>
    <t xml:space="preserve">ProCap BTC</t>
  </si>
  <si>
    <t xml:space="preserve">~$1B</t>
  </si>
  <si>
    <t xml:space="preserve">Cohen &amp; Co CM (excl. FA; co-placement with Clear Street)</t>
  </si>
  <si>
    <t xml:space="preserve">Reed Smith; Ellenoff Grossman</t>
  </si>
  <si>
    <t xml:space="preserve">2025</t>
  </si>
  <si>
    <t xml:space="preserve">KindlyMD</t>
  </si>
  <si>
    <t xml:space="preserve">Nakamoto</t>
  </si>
  <si>
    <t xml:space="preserve">~$710M</t>
  </si>
  <si>
    <t xml:space="preserve">Cohen &amp; Co CM (lead FA + placement); 10X Capital</t>
  </si>
  <si>
    <t xml:space="preserve">Reed Smith (Nakamoto)</t>
  </si>
  <si>
    <t xml:space="preserve">Strive</t>
  </si>
  <si>
    <t xml:space="preserve">Semler Scientific</t>
  </si>
  <si>
    <t xml:space="preserve">~$1.4B all-stock</t>
  </si>
  <si>
    <t xml:space="preserve">LionTree (excl.)</t>
  </si>
  <si>
    <t xml:space="preserve">Davis Polk (Strive); Goodwin (Semler); first DAT stock-for-stock merger; closed Jan 2026</t>
  </si>
  <si>
    <t xml:space="preserve">Cantor Equity Partners II</t>
  </si>
  <si>
    <t xml:space="preserve">$1.25B pre-money</t>
  </si>
  <si>
    <t xml:space="preserve">Citi (Securitize)</t>
  </si>
  <si>
    <t xml:space="preserve">Cantor Fitzgerald (CEPT)</t>
  </si>
  <si>
    <t xml:space="preserve">Davis Polk; Hughes Hubbard; NYSE: SECZ Jul 2026</t>
  </si>
  <si>
    <t xml:space="preserve">Attributions from company press releases, law firm and bank announcements, SEC filings, and Architect Partners M&amp;A alerts. 'Not disclosed' means no public advisor attribution was found, not that no advisor was engaged. Restructuring engagements originated 2022-23 but concluded in the window shown.</t>
  </si>
  <si>
    <t xml:space="preserve">Engagement Feed: Content, Events, and CBS Actions</t>
  </si>
  <si>
    <t xml:space="preserve">Every hook named in the Aug 2026 research, plus the CBS-cycle actions from the Timeline tab  |  Engage BEFORE you reach out</t>
  </si>
  <si>
    <t xml:space="preserve">Fill in the yellow columns (G to H) as you subscribe, register, and attend.</t>
  </si>
  <si>
    <t xml:space="preserve">Source / Event</t>
  </si>
  <si>
    <t xml:space="preserve">Host / Firm</t>
  </si>
  <si>
    <t xml:space="preserve">Cadence / When</t>
  </si>
  <si>
    <t xml:space="preserve">Why It Matters / Action</t>
  </si>
  <si>
    <t xml:space="preserve">Done?</t>
  </si>
  <si>
    <t xml:space="preserve">CBS club fair - join IBC + Fintech Club</t>
  </si>
  <si>
    <t xml:space="preserve">CBS action</t>
  </si>
  <si>
    <t xml:space="preserve">Columbia Business School</t>
  </si>
  <si>
    <t xml:space="preserve">Aug 24 - early Sept</t>
  </si>
  <si>
    <t xml:space="preserve">Join both clubs immediately; get CMC portal access and pull the OCR employer roster against the Master Targets tab</t>
  </si>
  <si>
    <t xml:space="preserve">Now</t>
  </si>
  <si>
    <t xml:space="preserve">Columbia Venture Fellows (CVF)</t>
  </si>
  <si>
    <t xml:space="preserve">Columbia</t>
  </si>
  <si>
    <t xml:space="preserve">Opens ~Aug 28</t>
  </si>
  <si>
    <t xml:space="preserve">The VC-lane vehicle; Galaxy Ventures, CoinFund, and USV are flagged CVF-compatible</t>
  </si>
  <si>
    <t xml:space="preserve">IBC prep program + resume book</t>
  </si>
  <si>
    <t xml:space="preserve">CBS Investment Banking Club</t>
  </si>
  <si>
    <t xml:space="preserve">Sept-Oct</t>
  </si>
  <si>
    <t xml:space="preserve">Submit to the resume book; lock the FIG/fintech story tied to your deal experience</t>
  </si>
  <si>
    <t xml:space="preserve">Employer information sessions</t>
  </si>
  <si>
    <t xml:space="preserve">Tier 1 firms via CMC</t>
  </si>
  <si>
    <t xml:space="preserve">From Sept</t>
  </si>
  <si>
    <t xml:space="preserve">Attend every Tier 1 session; log contacts in the lane tabs the same day</t>
  </si>
  <si>
    <t xml:space="preserve">Architect Partners M&amp;A alerts</t>
  </si>
  <si>
    <t xml:space="preserve">Newsletter</t>
  </si>
  <si>
    <t xml:space="preserve">Per-deal</t>
  </si>
  <si>
    <t xml:space="preserve">Your ongoing market map: every alert names the advisors - feeds the Deal Evidence and League Table tabs</t>
  </si>
  <si>
    <t xml:space="preserve">Fintech Collective newsletter</t>
  </si>
  <si>
    <t xml:space="preserve">Recurring</t>
  </si>
  <si>
    <t xml:space="preserve">The stablecoins/payments canon ('The Dollar's New Avatar', 'Stablecoins Take the Lead'); reference it in outreach</t>
  </si>
  <si>
    <t xml:space="preserve">Galaxy Research</t>
  </si>
  <si>
    <t xml:space="preserve">Galaxy</t>
  </si>
  <si>
    <t xml:space="preserve">Underpins the best NYC stablecoins/market-structure conversation; read before any Galaxy touchpoint</t>
  </si>
  <si>
    <t xml:space="preserve">Variant thesis essays</t>
  </si>
  <si>
    <t xml:space="preserve">Per-essay</t>
  </si>
  <si>
    <t xml:space="preserve">Writing-first outreach: respond to a live essay, don't cold-email</t>
  </si>
  <si>
    <t xml:space="preserve">Weekly</t>
  </si>
  <si>
    <t xml:space="preserve">USV thesis blog + AVC (Fred Wilson)</t>
  </si>
  <si>
    <t xml:space="preserve">Blog</t>
  </si>
  <si>
    <t xml:space="preserve">They reward writing; CVF plus a thoughtful written note is the entry</t>
  </si>
  <si>
    <t xml:space="preserve">a16z crypto research + State of Crypto</t>
  </si>
  <si>
    <t xml:space="preserve">Recurring + annual</t>
  </si>
  <si>
    <t xml:space="preserve">Fund 5 thesis language (stablecoins, tokenization, perp futures, prediction markets, AI agents); Dixon is the Columbia hook</t>
  </si>
  <si>
    <t xml:space="preserve">Placeholder research library</t>
  </si>
  <si>
    <t xml:space="preserve">Archive</t>
  </si>
  <si>
    <t xml:space="preserve">Burniske's cryptoasset valuation frameworks are CVF-grade material</t>
  </si>
  <si>
    <t xml:space="preserve">Monthly</t>
  </si>
  <si>
    <t xml:space="preserve">Portal Ventures / Evan Fisher writing</t>
  </si>
  <si>
    <t xml:space="preserve">Fundamentals-driven framing; the most MBA-legible fund voice in the set</t>
  </si>
  <si>
    <t xml:space="preserve">Syncracy research (Ryan Watkins)</t>
  </si>
  <si>
    <t xml:space="preserve">Liquid fund, not a VC target - but the research is flagged worth reading</t>
  </si>
  <si>
    <t xml:space="preserve">Archebyte</t>
  </si>
  <si>
    <t xml:space="preserve">Podcast</t>
  </si>
  <si>
    <t xml:space="preserve">Archetype (Ash Egan)</t>
  </si>
  <si>
    <t xml:space="preserve">Archetype's front door; pairs with their NYC in-person events</t>
  </si>
  <si>
    <t xml:space="preserve">The Chopping Block</t>
  </si>
  <si>
    <t xml:space="preserve">Dragonfly (Haseeb Qureshi)</t>
  </si>
  <si>
    <t xml:space="preserve">Dragonfly's public voice; RWA/stablecoin pivot commentary</t>
  </si>
  <si>
    <t xml:space="preserve">Layer One</t>
  </si>
  <si>
    <t xml:space="preserve">Their own podcast; complements the newsletter</t>
  </si>
  <si>
    <t xml:space="preserve">Castle Island (Nic Carter)</t>
  </si>
  <si>
    <t xml:space="preserve">Engage BEFORE the post-close Talos intro; the tracker's explicit instruction</t>
  </si>
  <si>
    <t xml:space="preserve">The Defiant (Ken Seiff appearances)</t>
  </si>
  <si>
    <t xml:space="preserve">Blockchange via The Defiant</t>
  </si>
  <si>
    <t xml:space="preserve">Occasional</t>
  </si>
  <si>
    <t xml:space="preserve">Seiff is flagged accessible via podcast appearances</t>
  </si>
  <si>
    <t xml:space="preserve">CoinFund research + podcast</t>
  </si>
  <si>
    <t xml:space="preserve">Market-structure focus; engage before NYC events</t>
  </si>
  <si>
    <t xml:space="preserve">North Island / Travis Scher podcasts</t>
  </si>
  <si>
    <t xml:space="preserve">Scher is public; NIV has advertised associate roles - watch openings</t>
  </si>
  <si>
    <t xml:space="preserve">Stablecon</t>
  </si>
  <si>
    <t xml:space="preserve">Conference</t>
  </si>
  <si>
    <t xml:space="preserve">NYC stablecoin conference (Fintech Collective-adjacent)</t>
  </si>
  <si>
    <t xml:space="preserve">Confirm 2026-27 dates</t>
  </si>
  <si>
    <t xml:space="preserve">THE stablecoins/payments room in NYC; highest thesis-fit event on the list</t>
  </si>
  <si>
    <t xml:space="preserve">Consensus / Permissionless (NYC editions)</t>
  </si>
  <si>
    <t xml:space="preserve">Industry</t>
  </si>
  <si>
    <t xml:space="preserve">Confirm dates</t>
  </si>
  <si>
    <t xml:space="preserve">Attend when in NYC per the research's recommendation</t>
  </si>
  <si>
    <t xml:space="preserve">Breakpoint</t>
  </si>
  <si>
    <t xml:space="preserve">Dudas (6MV) keynotes here; the Solana-weighted funds' room</t>
  </si>
  <si>
    <t xml:space="preserve">Archetype NYC events</t>
  </si>
  <si>
    <t xml:space="preserve">Events</t>
  </si>
  <si>
    <t xml:space="preserve">Explicit engagement hook: RSVP culture, in-person</t>
  </si>
  <si>
    <t xml:space="preserve">Consensys Tachyon / ecosystem events</t>
  </si>
  <si>
    <t xml:space="preserve">Consensys Mesh</t>
  </si>
  <si>
    <t xml:space="preserve">Brooklyn ecosystem surface; lower priority</t>
  </si>
  <si>
    <t xml:space="preserve">Hooks as named in the Aug 2026 research; CBS-cycle actions from the Timeline tab. Confirm 2026-27 conference dates when registration opens, and exact CBS dates on the CMC portal after orientation. Rule of thumb from the research: subscribe and engage BEFORE reaching out.</t>
  </si>
  <si>
    <t xml:space="preserve">CBS Recruiting Cycle: Key Windows (Class of 2028)</t>
  </si>
  <si>
    <t xml:space="preserve">Window</t>
  </si>
  <si>
    <t xml:space="preserve">What Happens</t>
  </si>
  <si>
    <t xml:space="preserve">Your Moves</t>
  </si>
  <si>
    <t xml:space="preserve">Aug 24 to early Sept 2026</t>
  </si>
  <si>
    <t xml:space="preserve">Orientation; club fair</t>
  </si>
  <si>
    <t xml:space="preserve">Join the Investment Banking Club and Fintech Club immediately; get CMC portal access and pull the current OCR employer roster against the Targets tab</t>
  </si>
  <si>
    <t xml:space="preserve">Sept 2026</t>
  </si>
  <si>
    <t xml:space="preserve">Employer information sessions begin</t>
  </si>
  <si>
    <t xml:space="preserve">Attend every Tier 1 session; log contacts in the tracker the same day</t>
  </si>
  <si>
    <t xml:space="preserve">Sept to Oct 2026</t>
  </si>
  <si>
    <t xml:space="preserve">IBC prep program; resume book deadline</t>
  </si>
  <si>
    <t xml:space="preserve">Submit your resume to the IBC book; lock the FIG / fintech story and tie it to your deal experience</t>
  </si>
  <si>
    <t xml:space="preserve">Oct to Nov 2026</t>
  </si>
  <si>
    <t xml:space="preserve">Coffee chats, firm dinners, networking events</t>
  </si>
  <si>
    <t xml:space="preserve">Target 2 to 3 contacts per Tier 1 firm; start Tier 2 direct outreach in parallel</t>
  </si>
  <si>
    <t xml:space="preserve">Dec 2026</t>
  </si>
  <si>
    <t xml:space="preserve">Closed-list invitations; resume drops open</t>
  </si>
  <si>
    <t xml:space="preserve">Apply through the CMC portal; prioritize firms where you have multiple advocates</t>
  </si>
  <si>
    <t xml:space="preserve">Jan 2027</t>
  </si>
  <si>
    <t xml:space="preserve">Summer associate interviews (typically mid to late January)</t>
  </si>
  <si>
    <t xml:space="preserve">IBC mock interviews; technicals should be automatic before the holidays end</t>
  </si>
  <si>
    <t xml:space="preserve">Feb 2027</t>
  </si>
  <si>
    <t xml:space="preserve">Offers and decisions</t>
  </si>
  <si>
    <t xml:space="preserve">Close your summer seat; keep Tier 2 and Tier 3 threads warm</t>
  </si>
  <si>
    <t xml:space="preserve">Mar to May 2027</t>
  </si>
  <si>
    <t xml:space="preserve">Off-cycle and just-in-time hiring at boutiques</t>
  </si>
  <si>
    <t xml:space="preserve">Push Tier 3 conversations; crypto-native firms hire when deals land</t>
  </si>
  <si>
    <t xml:space="preserve">Summer 2027</t>
  </si>
  <si>
    <t xml:space="preserve">Summer associate internship</t>
  </si>
  <si>
    <t xml:space="preserve">Convert; the return offer is the whole game</t>
  </si>
  <si>
    <t xml:space="preserve">Fall 2027</t>
  </si>
  <si>
    <t xml:space="preserve">Full-time conversion and off-cycle moves</t>
  </si>
  <si>
    <t xml:space="preserve">If pivoting to a crypto-native firm for full time, this is the window</t>
  </si>
  <si>
    <t xml:space="preserve">Windows reflect the typical CBS IB cycle; confirm exact 2026-27 dates on the CMC portal after orientation.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</si>
</sst>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yyyy\-mm\-dd;@"/>
    <numFmt numFmtId="167" formatCode="mm/dd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E0"/>
        <bgColor rgb="FFF5EFE6"/>
      </patternFill>
    </fill>
    <fill>
      <patternFill patternType="solid">
        <fgColor rgb="FFEAF1F8"/>
        <bgColor rgb="FFF2F2F2"/>
      </patternFill>
    </fill>
    <fill>
      <patternFill patternType="solid">
        <fgColor rgb="FFF5EFE6"/>
        <bgColor rgb="FFF2F2F2"/>
      </patternFill>
    </fill>
    <fill>
      <patternFill patternType="solid">
        <fgColor rgb="FFE7F0E4"/>
        <bgColor rgb="FFE2EFDA"/>
      </patternFill>
    </fill>
    <fill>
      <patternFill patternType="solid">
        <fgColor rgb="FFECE6F2"/>
        <bgColor rgb="FFE9E4F0"/>
      </patternFill>
    </fill>
    <fill>
      <patternFill patternType="solid">
        <fgColor rgb="FFE9E4F0"/>
        <bgColor rgb="FFECE6F2"/>
      </patternFill>
    </fill>
    <fill>
      <patternFill patternType="solid">
        <fgColor rgb="FFF2F2F2"/>
        <bgColor rgb="FFF5EFE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5EF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D9D9D9"/>
        </patternFill>
      </fill>
    </dxf>
    <dxf>
      <fill>
        <patternFill patternType="solid">
          <fgColor rgb="FFE7F0E4"/>
          <bgColor rgb="FF000000"/>
        </patternFill>
      </fill>
    </dxf>
    <dxf>
      <fill>
        <patternFill patternType="solid">
          <fgColor rgb="FFECE6F2"/>
          <bgColor rgb="FF000000"/>
        </patternFill>
      </fill>
    </dxf>
    <dxf>
      <fill>
        <patternFill patternType="solid">
          <fgColor rgb="FFE9E4F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808080"/>
      <rgbColor rgb="FF8EAADB"/>
      <rgbColor rgb="FF7030A0"/>
      <rgbColor rgb="FFFFF7E0"/>
      <rgbColor rgb="FFEAF1F8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0E4"/>
      <rgbColor rgb="FFC6EFCE"/>
      <rgbColor rgb="FFF5EFE6"/>
      <rgbColor rgb="FFE9E4F0"/>
      <rgbColor rgb="FFECE6F2"/>
      <rgbColor rgb="FFE2EFDA"/>
      <rgbColor rgb="FFFCE4D6"/>
      <rgbColor rgb="FF4472C4"/>
      <rgbColor rgb="FF33CCCC"/>
      <rgbColor rgb="FF70AD47"/>
      <rgbColor rgb="FFFFCC00"/>
      <rgbColor rgb="FFBF8F00"/>
      <rgbColor rgb="FFD16E00"/>
      <rgbColor rgb="FF5B4B8A"/>
      <rgbColor rgb="FF8E7CC3"/>
      <rgbColor rgb="FF1F3864"/>
      <rgbColor rgb="FF3B7D6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L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34"/>
    <col collapsed="false" customWidth="true" hidden="false" outlineLevel="0" max="7" min="7" style="1" width="16"/>
    <col collapsed="false" customWidth="true" hidden="false" outlineLevel="0" max="8" min="8" style="1" width="36"/>
    <col collapsed="false" customWidth="true" hidden="false" outlineLevel="0" max="9" min="9" style="1" width="10"/>
    <col collapsed="false" customWidth="true" hidden="false" outlineLevel="0" max="10" min="10" style="1" width="15"/>
    <col collapsed="false" customWidth="true" hidden="false" outlineLevel="0" max="11" min="11" style="1" width="26"/>
    <col collapsed="false" customWidth="true" hidden="false" outlineLevel="0" max="12" min="12" style="1" width="13"/>
  </cols>
  <sheetData>
    <row r="1" customFormat="false" ht="24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13.5" hidden="false" customHeight="true" outlineLevel="0" collapsed="false">
      <c r="A3" s="4" t="s">
        <v>2</v>
      </c>
      <c r="G3" s="5" t="s">
        <v>3</v>
      </c>
      <c r="H3" s="6" t="n">
        <f aca="false">COUNTA($A$6:$A$79)</f>
        <v>74</v>
      </c>
      <c r="I3" s="5" t="s">
        <v>4</v>
      </c>
      <c r="J3" s="6" t="n">
        <f aca="false">COUNTIF($I$6:$I$79,"High")</f>
        <v>0</v>
      </c>
      <c r="K3" s="5" t="s">
        <v>5</v>
      </c>
      <c r="L3" s="6" t="n">
        <f aca="false">SUMPRODUCT(--($J$6:$J$79&lt;&gt;""))-COUNTIF($J$6:$J$79,"Not started")-COUNTIF($J$6:$J$79,"Pass")</f>
        <v>0</v>
      </c>
    </row>
    <row r="4" customFormat="false" ht="6" hidden="false" customHeight="true" outlineLevel="0" collapsed="false"/>
    <row r="5" customFormat="false" ht="27.75" hidden="false" customHeight="tru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</row>
    <row r="6" customFormat="false" ht="23.25" hidden="false" customHeight="true" outlineLevel="0" collapsed="false">
      <c r="A6" s="8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9" t="s">
        <v>23</v>
      </c>
      <c r="G6" s="9" t="s">
        <v>24</v>
      </c>
      <c r="H6" s="9" t="s">
        <v>25</v>
      </c>
      <c r="I6" s="9" t="str">
        <f aca="false">IF('IB Targets'!F7="","",'IB Targets'!F7)</f>
        <v/>
      </c>
      <c r="J6" s="9" t="str">
        <f aca="false">IF('IB Targets'!G7="","",'IB Targets'!G7)</f>
        <v/>
      </c>
      <c r="K6" s="9" t="str">
        <f aca="false">IF('IB Targets'!K7="","",'IB Targets'!K7)</f>
        <v/>
      </c>
      <c r="L6" s="10" t="str">
        <f aca="false">IF('IB Targets'!L7="","",'IB Targets'!L7)</f>
        <v/>
      </c>
    </row>
    <row r="7" customFormat="false" ht="23.25" hidden="false" customHeight="true" outlineLevel="0" collapsed="false">
      <c r="A7" s="8" t="s">
        <v>26</v>
      </c>
      <c r="B7" s="9" t="s">
        <v>19</v>
      </c>
      <c r="C7" s="9" t="s">
        <v>20</v>
      </c>
      <c r="D7" s="9" t="s">
        <v>21</v>
      </c>
      <c r="E7" s="9" t="s">
        <v>27</v>
      </c>
      <c r="F7" s="9" t="s">
        <v>28</v>
      </c>
      <c r="G7" s="9" t="s">
        <v>24</v>
      </c>
      <c r="H7" s="9" t="s">
        <v>29</v>
      </c>
      <c r="I7" s="9" t="str">
        <f aca="false">IF('IB Targets'!F8="","",'IB Targets'!F8)</f>
        <v/>
      </c>
      <c r="J7" s="9" t="str">
        <f aca="false">IF('IB Targets'!G8="","",'IB Targets'!G8)</f>
        <v/>
      </c>
      <c r="K7" s="9" t="str">
        <f aca="false">IF('IB Targets'!K8="","",'IB Targets'!K8)</f>
        <v/>
      </c>
      <c r="L7" s="10" t="str">
        <f aca="false">IF('IB Targets'!L8="","",'IB Targets'!L8)</f>
        <v/>
      </c>
    </row>
    <row r="8" customFormat="false" ht="23.25" hidden="false" customHeight="true" outlineLevel="0" collapsed="false">
      <c r="A8" s="8" t="s">
        <v>30</v>
      </c>
      <c r="B8" s="9" t="s">
        <v>19</v>
      </c>
      <c r="C8" s="9" t="s">
        <v>20</v>
      </c>
      <c r="D8" s="9" t="s">
        <v>21</v>
      </c>
      <c r="E8" s="9" t="s">
        <v>31</v>
      </c>
      <c r="F8" s="9" t="s">
        <v>32</v>
      </c>
      <c r="G8" s="9" t="s">
        <v>24</v>
      </c>
      <c r="H8" s="9" t="s">
        <v>33</v>
      </c>
      <c r="I8" s="9" t="str">
        <f aca="false">IF('IB Targets'!F9="","",'IB Targets'!F9)</f>
        <v/>
      </c>
      <c r="J8" s="9" t="str">
        <f aca="false">IF('IB Targets'!G9="","",'IB Targets'!G9)</f>
        <v/>
      </c>
      <c r="K8" s="9" t="str">
        <f aca="false">IF('IB Targets'!K9="","",'IB Targets'!K9)</f>
        <v/>
      </c>
      <c r="L8" s="10" t="str">
        <f aca="false">IF('IB Targets'!L9="","",'IB Targets'!L9)</f>
        <v/>
      </c>
    </row>
    <row r="9" customFormat="false" ht="23.25" hidden="false" customHeight="true" outlineLevel="0" collapsed="false">
      <c r="A9" s="8" t="s">
        <v>34</v>
      </c>
      <c r="B9" s="9" t="s">
        <v>19</v>
      </c>
      <c r="C9" s="9" t="s">
        <v>20</v>
      </c>
      <c r="D9" s="9" t="s">
        <v>21</v>
      </c>
      <c r="E9" s="9" t="s">
        <v>35</v>
      </c>
      <c r="F9" s="9" t="s">
        <v>36</v>
      </c>
      <c r="G9" s="9" t="s">
        <v>24</v>
      </c>
      <c r="H9" s="9" t="s">
        <v>37</v>
      </c>
      <c r="I9" s="9" t="str">
        <f aca="false">IF('IB Targets'!F10="","",'IB Targets'!F10)</f>
        <v/>
      </c>
      <c r="J9" s="9" t="str">
        <f aca="false">IF('IB Targets'!G10="","",'IB Targets'!G10)</f>
        <v/>
      </c>
      <c r="K9" s="9" t="str">
        <f aca="false">IF('IB Targets'!K10="","",'IB Targets'!K10)</f>
        <v/>
      </c>
      <c r="L9" s="10" t="str">
        <f aca="false">IF('IB Targets'!L10="","",'IB Targets'!L10)</f>
        <v/>
      </c>
    </row>
    <row r="10" customFormat="false" ht="23.25" hidden="false" customHeight="true" outlineLevel="0" collapsed="false">
      <c r="A10" s="8" t="s">
        <v>38</v>
      </c>
      <c r="B10" s="9" t="s">
        <v>19</v>
      </c>
      <c r="C10" s="9" t="s">
        <v>20</v>
      </c>
      <c r="D10" s="9" t="s">
        <v>21</v>
      </c>
      <c r="E10" s="9" t="s">
        <v>39</v>
      </c>
      <c r="F10" s="9" t="s">
        <v>36</v>
      </c>
      <c r="G10" s="9" t="s">
        <v>24</v>
      </c>
      <c r="H10" s="9" t="s">
        <v>40</v>
      </c>
      <c r="I10" s="9" t="str">
        <f aca="false">IF('IB Targets'!F11="","",'IB Targets'!F11)</f>
        <v/>
      </c>
      <c r="J10" s="9" t="str">
        <f aca="false">IF('IB Targets'!G11="","",'IB Targets'!G11)</f>
        <v/>
      </c>
      <c r="K10" s="9" t="str">
        <f aca="false">IF('IB Targets'!K11="","",'IB Targets'!K11)</f>
        <v/>
      </c>
      <c r="L10" s="10" t="str">
        <f aca="false">IF('IB Targets'!L11="","",'IB Targets'!L11)</f>
        <v/>
      </c>
    </row>
    <row r="11" customFormat="false" ht="15" hidden="false" customHeight="true" outlineLevel="0" collapsed="false">
      <c r="A11" s="8" t="s">
        <v>41</v>
      </c>
      <c r="B11" s="9" t="s">
        <v>19</v>
      </c>
      <c r="C11" s="9" t="s">
        <v>20</v>
      </c>
      <c r="D11" s="9" t="s">
        <v>21</v>
      </c>
      <c r="E11" s="9" t="s">
        <v>42</v>
      </c>
      <c r="F11" s="9" t="s">
        <v>36</v>
      </c>
      <c r="G11" s="9" t="s">
        <v>24</v>
      </c>
      <c r="H11" s="9" t="s">
        <v>37</v>
      </c>
      <c r="I11" s="9" t="str">
        <f aca="false">IF('IB Targets'!F12="","",'IB Targets'!F12)</f>
        <v/>
      </c>
      <c r="J11" s="9" t="str">
        <f aca="false">IF('IB Targets'!G12="","",'IB Targets'!G12)</f>
        <v/>
      </c>
      <c r="K11" s="9" t="str">
        <f aca="false">IF('IB Targets'!K12="","",'IB Targets'!K12)</f>
        <v/>
      </c>
      <c r="L11" s="10" t="str">
        <f aca="false">IF('IB Targets'!L12="","",'IB Targets'!L12)</f>
        <v/>
      </c>
    </row>
    <row r="12" customFormat="false" ht="23.25" hidden="false" customHeight="true" outlineLevel="0" collapsed="false">
      <c r="A12" s="8" t="s">
        <v>43</v>
      </c>
      <c r="B12" s="9" t="s">
        <v>19</v>
      </c>
      <c r="C12" s="9" t="s">
        <v>20</v>
      </c>
      <c r="D12" s="9" t="s">
        <v>44</v>
      </c>
      <c r="E12" s="9" t="s">
        <v>45</v>
      </c>
      <c r="F12" s="9" t="s">
        <v>46</v>
      </c>
      <c r="G12" s="9" t="s">
        <v>24</v>
      </c>
      <c r="H12" s="9" t="s">
        <v>37</v>
      </c>
      <c r="I12" s="9" t="str">
        <f aca="false">IF('IB Targets'!F13="","",'IB Targets'!F13)</f>
        <v/>
      </c>
      <c r="J12" s="9" t="str">
        <f aca="false">IF('IB Targets'!G13="","",'IB Targets'!G13)</f>
        <v/>
      </c>
      <c r="K12" s="9" t="str">
        <f aca="false">IF('IB Targets'!K13="","",'IB Targets'!K13)</f>
        <v/>
      </c>
      <c r="L12" s="10" t="str">
        <f aca="false">IF('IB Targets'!L13="","",'IB Targets'!L13)</f>
        <v/>
      </c>
    </row>
    <row r="13" customFormat="false" ht="23.25" hidden="false" customHeight="true" outlineLevel="0" collapsed="false">
      <c r="A13" s="8" t="s">
        <v>47</v>
      </c>
      <c r="B13" s="9" t="s">
        <v>19</v>
      </c>
      <c r="C13" s="9" t="s">
        <v>20</v>
      </c>
      <c r="D13" s="9" t="s">
        <v>21</v>
      </c>
      <c r="E13" s="9" t="s">
        <v>48</v>
      </c>
      <c r="F13" s="9" t="s">
        <v>36</v>
      </c>
      <c r="G13" s="9" t="s">
        <v>24</v>
      </c>
      <c r="H13" s="9" t="s">
        <v>49</v>
      </c>
      <c r="I13" s="9" t="str">
        <f aca="false">IF('IB Targets'!F14="","",'IB Targets'!F14)</f>
        <v/>
      </c>
      <c r="J13" s="9" t="str">
        <f aca="false">IF('IB Targets'!G14="","",'IB Targets'!G14)</f>
        <v/>
      </c>
      <c r="K13" s="9" t="str">
        <f aca="false">IF('IB Targets'!K14="","",'IB Targets'!K14)</f>
        <v/>
      </c>
      <c r="L13" s="10" t="str">
        <f aca="false">IF('IB Targets'!L14="","",'IB Targets'!L14)</f>
        <v/>
      </c>
    </row>
    <row r="14" customFormat="false" ht="23.25" hidden="false" customHeight="true" outlineLevel="0" collapsed="false">
      <c r="A14" s="8" t="s">
        <v>50</v>
      </c>
      <c r="B14" s="9" t="s">
        <v>19</v>
      </c>
      <c r="C14" s="9" t="s">
        <v>20</v>
      </c>
      <c r="D14" s="9" t="s">
        <v>21</v>
      </c>
      <c r="E14" s="9" t="s">
        <v>51</v>
      </c>
      <c r="F14" s="9" t="s">
        <v>52</v>
      </c>
      <c r="G14" s="9" t="s">
        <v>24</v>
      </c>
      <c r="H14" s="9" t="s">
        <v>53</v>
      </c>
      <c r="I14" s="9" t="str">
        <f aca="false">IF('IB Targets'!F15="","",'IB Targets'!F15)</f>
        <v/>
      </c>
      <c r="J14" s="9" t="str">
        <f aca="false">IF('IB Targets'!G15="","",'IB Targets'!G15)</f>
        <v/>
      </c>
      <c r="K14" s="9" t="str">
        <f aca="false">IF('IB Targets'!K15="","",'IB Targets'!K15)</f>
        <v/>
      </c>
      <c r="L14" s="10" t="str">
        <f aca="false">IF('IB Targets'!L15="","",'IB Targets'!L15)</f>
        <v/>
      </c>
    </row>
    <row r="15" customFormat="false" ht="23.25" hidden="false" customHeight="true" outlineLevel="0" collapsed="false">
      <c r="A15" s="8" t="s">
        <v>54</v>
      </c>
      <c r="B15" s="9" t="s">
        <v>19</v>
      </c>
      <c r="C15" s="9" t="s">
        <v>55</v>
      </c>
      <c r="D15" s="9" t="s">
        <v>21</v>
      </c>
      <c r="E15" s="9" t="s">
        <v>56</v>
      </c>
      <c r="F15" s="9" t="s">
        <v>57</v>
      </c>
      <c r="G15" s="9" t="s">
        <v>58</v>
      </c>
      <c r="H15" s="9" t="s">
        <v>59</v>
      </c>
      <c r="I15" s="9" t="str">
        <f aca="false">IF('IB Targets'!F16="","",'IB Targets'!F16)</f>
        <v/>
      </c>
      <c r="J15" s="9" t="str">
        <f aca="false">IF('IB Targets'!G16="","",'IB Targets'!G16)</f>
        <v/>
      </c>
      <c r="K15" s="9" t="str">
        <f aca="false">IF('IB Targets'!K16="","",'IB Targets'!K16)</f>
        <v/>
      </c>
      <c r="L15" s="10" t="str">
        <f aca="false">IF('IB Targets'!L16="","",'IB Targets'!L16)</f>
        <v/>
      </c>
    </row>
    <row r="16" customFormat="false" ht="23.25" hidden="false" customHeight="true" outlineLevel="0" collapsed="false">
      <c r="A16" s="8" t="s">
        <v>60</v>
      </c>
      <c r="B16" s="9" t="s">
        <v>19</v>
      </c>
      <c r="C16" s="9" t="s">
        <v>55</v>
      </c>
      <c r="D16" s="9" t="s">
        <v>61</v>
      </c>
      <c r="E16" s="9" t="s">
        <v>62</v>
      </c>
      <c r="F16" s="9" t="s">
        <v>63</v>
      </c>
      <c r="G16" s="9" t="s">
        <v>64</v>
      </c>
      <c r="H16" s="9" t="s">
        <v>65</v>
      </c>
      <c r="I16" s="9" t="str">
        <f aca="false">IF('IB Targets'!F17="","",'IB Targets'!F17)</f>
        <v/>
      </c>
      <c r="J16" s="9" t="str">
        <f aca="false">IF('IB Targets'!G17="","",'IB Targets'!G17)</f>
        <v/>
      </c>
      <c r="K16" s="9" t="str">
        <f aca="false">IF('IB Targets'!K17="","",'IB Targets'!K17)</f>
        <v/>
      </c>
      <c r="L16" s="10" t="str">
        <f aca="false">IF('IB Targets'!L17="","",'IB Targets'!L17)</f>
        <v/>
      </c>
    </row>
    <row r="17" customFormat="false" ht="23.25" hidden="false" customHeight="true" outlineLevel="0" collapsed="false">
      <c r="A17" s="8" t="s">
        <v>66</v>
      </c>
      <c r="B17" s="9" t="s">
        <v>19</v>
      </c>
      <c r="C17" s="9" t="s">
        <v>55</v>
      </c>
      <c r="D17" s="9" t="s">
        <v>21</v>
      </c>
      <c r="E17" s="9" t="s">
        <v>67</v>
      </c>
      <c r="F17" s="9" t="s">
        <v>68</v>
      </c>
      <c r="G17" s="9" t="s">
        <v>58</v>
      </c>
      <c r="H17" s="9" t="s">
        <v>69</v>
      </c>
      <c r="I17" s="9" t="str">
        <f aca="false">IF('IB Targets'!F18="","",'IB Targets'!F18)</f>
        <v/>
      </c>
      <c r="J17" s="9" t="str">
        <f aca="false">IF('IB Targets'!G18="","",'IB Targets'!G18)</f>
        <v/>
      </c>
      <c r="K17" s="9" t="str">
        <f aca="false">IF('IB Targets'!K18="","",'IB Targets'!K18)</f>
        <v/>
      </c>
      <c r="L17" s="10" t="str">
        <f aca="false">IF('IB Targets'!L18="","",'IB Targets'!L18)</f>
        <v/>
      </c>
    </row>
    <row r="18" customFormat="false" ht="23.25" hidden="false" customHeight="true" outlineLevel="0" collapsed="false">
      <c r="A18" s="8" t="s">
        <v>70</v>
      </c>
      <c r="B18" s="9" t="s">
        <v>19</v>
      </c>
      <c r="C18" s="9" t="s">
        <v>55</v>
      </c>
      <c r="D18" s="9" t="s">
        <v>21</v>
      </c>
      <c r="E18" s="9" t="s">
        <v>71</v>
      </c>
      <c r="F18" s="9" t="s">
        <v>72</v>
      </c>
      <c r="G18" s="9" t="s">
        <v>58</v>
      </c>
      <c r="H18" s="9" t="s">
        <v>37</v>
      </c>
      <c r="I18" s="9" t="str">
        <f aca="false">IF('IB Targets'!F19="","",'IB Targets'!F19)</f>
        <v/>
      </c>
      <c r="J18" s="9" t="str">
        <f aca="false">IF('IB Targets'!G19="","",'IB Targets'!G19)</f>
        <v/>
      </c>
      <c r="K18" s="9" t="str">
        <f aca="false">IF('IB Targets'!K19="","",'IB Targets'!K19)</f>
        <v/>
      </c>
      <c r="L18" s="10" t="str">
        <f aca="false">IF('IB Targets'!L19="","",'IB Targets'!L19)</f>
        <v/>
      </c>
    </row>
    <row r="19" customFormat="false" ht="23.25" hidden="false" customHeight="true" outlineLevel="0" collapsed="false">
      <c r="A19" s="8" t="s">
        <v>73</v>
      </c>
      <c r="B19" s="9" t="s">
        <v>19</v>
      </c>
      <c r="C19" s="9" t="s">
        <v>74</v>
      </c>
      <c r="D19" s="9" t="s">
        <v>21</v>
      </c>
      <c r="E19" s="9" t="s">
        <v>75</v>
      </c>
      <c r="F19" s="9" t="s">
        <v>76</v>
      </c>
      <c r="G19" s="9" t="s">
        <v>77</v>
      </c>
      <c r="H19" s="9" t="s">
        <v>78</v>
      </c>
      <c r="I19" s="9" t="str">
        <f aca="false">IF('IB Targets'!F20="","",'IB Targets'!F20)</f>
        <v/>
      </c>
      <c r="J19" s="9" t="str">
        <f aca="false">IF('IB Targets'!G20="","",'IB Targets'!G20)</f>
        <v/>
      </c>
      <c r="K19" s="9" t="str">
        <f aca="false">IF('IB Targets'!K20="","",'IB Targets'!K20)</f>
        <v/>
      </c>
      <c r="L19" s="10" t="str">
        <f aca="false">IF('IB Targets'!L20="","",'IB Targets'!L20)</f>
        <v/>
      </c>
    </row>
    <row r="20" customFormat="false" ht="23.25" hidden="false" customHeight="true" outlineLevel="0" collapsed="false">
      <c r="A20" s="8" t="s">
        <v>79</v>
      </c>
      <c r="B20" s="9" t="s">
        <v>19</v>
      </c>
      <c r="C20" s="9" t="s">
        <v>74</v>
      </c>
      <c r="D20" s="9" t="s">
        <v>80</v>
      </c>
      <c r="E20" s="9" t="s">
        <v>81</v>
      </c>
      <c r="F20" s="9" t="s">
        <v>82</v>
      </c>
      <c r="G20" s="9" t="s">
        <v>83</v>
      </c>
      <c r="H20" s="9" t="s">
        <v>84</v>
      </c>
      <c r="I20" s="9" t="str">
        <f aca="false">IF('IB Targets'!F21="","",'IB Targets'!F21)</f>
        <v/>
      </c>
      <c r="J20" s="9" t="str">
        <f aca="false">IF('IB Targets'!G21="","",'IB Targets'!G21)</f>
        <v/>
      </c>
      <c r="K20" s="9" t="str">
        <f aca="false">IF('IB Targets'!K21="","",'IB Targets'!K21)</f>
        <v/>
      </c>
      <c r="L20" s="10" t="str">
        <f aca="false">IF('IB Targets'!L21="","",'IB Targets'!L21)</f>
        <v/>
      </c>
    </row>
    <row r="21" customFormat="false" ht="23.25" hidden="false" customHeight="true" outlineLevel="0" collapsed="false">
      <c r="A21" s="8" t="s">
        <v>85</v>
      </c>
      <c r="B21" s="9" t="s">
        <v>19</v>
      </c>
      <c r="C21" s="9" t="s">
        <v>74</v>
      </c>
      <c r="D21" s="9" t="s">
        <v>86</v>
      </c>
      <c r="E21" s="9" t="s">
        <v>87</v>
      </c>
      <c r="F21" s="9" t="s">
        <v>88</v>
      </c>
      <c r="G21" s="9" t="s">
        <v>89</v>
      </c>
      <c r="H21" s="9" t="s">
        <v>90</v>
      </c>
      <c r="I21" s="9" t="str">
        <f aca="false">IF('IB Targets'!F22="","",'IB Targets'!F22)</f>
        <v/>
      </c>
      <c r="J21" s="9" t="str">
        <f aca="false">IF('IB Targets'!G22="","",'IB Targets'!G22)</f>
        <v/>
      </c>
      <c r="K21" s="9" t="str">
        <f aca="false">IF('IB Targets'!K22="","",'IB Targets'!K22)</f>
        <v/>
      </c>
      <c r="L21" s="10" t="str">
        <f aca="false">IF('IB Targets'!L22="","",'IB Targets'!L22)</f>
        <v/>
      </c>
    </row>
    <row r="22" customFormat="false" ht="23.25" hidden="false" customHeight="true" outlineLevel="0" collapsed="false">
      <c r="A22" s="8" t="s">
        <v>91</v>
      </c>
      <c r="B22" s="9" t="s">
        <v>19</v>
      </c>
      <c r="C22" s="9" t="s">
        <v>74</v>
      </c>
      <c r="D22" s="9" t="s">
        <v>21</v>
      </c>
      <c r="E22" s="9" t="s">
        <v>92</v>
      </c>
      <c r="F22" s="9" t="s">
        <v>93</v>
      </c>
      <c r="G22" s="9" t="s">
        <v>89</v>
      </c>
      <c r="H22" s="9" t="s">
        <v>94</v>
      </c>
      <c r="I22" s="9" t="str">
        <f aca="false">IF('IB Targets'!F23="","",'IB Targets'!F23)</f>
        <v/>
      </c>
      <c r="J22" s="9" t="str">
        <f aca="false">IF('IB Targets'!G23="","",'IB Targets'!G23)</f>
        <v/>
      </c>
      <c r="K22" s="9" t="str">
        <f aca="false">IF('IB Targets'!K23="","",'IB Targets'!K23)</f>
        <v/>
      </c>
      <c r="L22" s="10" t="str">
        <f aca="false">IF('IB Targets'!L23="","",'IB Targets'!L23)</f>
        <v/>
      </c>
    </row>
    <row r="23" customFormat="false" ht="23.25" hidden="false" customHeight="true" outlineLevel="0" collapsed="false">
      <c r="A23" s="8" t="s">
        <v>95</v>
      </c>
      <c r="B23" s="9" t="s">
        <v>19</v>
      </c>
      <c r="C23" s="9" t="s">
        <v>74</v>
      </c>
      <c r="D23" s="9" t="s">
        <v>21</v>
      </c>
      <c r="E23" s="9" t="s">
        <v>96</v>
      </c>
      <c r="F23" s="9" t="s">
        <v>97</v>
      </c>
      <c r="G23" s="9" t="s">
        <v>58</v>
      </c>
      <c r="H23" s="9" t="s">
        <v>98</v>
      </c>
      <c r="I23" s="9" t="str">
        <f aca="false">IF('IB Targets'!F24="","",'IB Targets'!F24)</f>
        <v/>
      </c>
      <c r="J23" s="9" t="str">
        <f aca="false">IF('IB Targets'!G24="","",'IB Targets'!G24)</f>
        <v/>
      </c>
      <c r="K23" s="9" t="str">
        <f aca="false">IF('IB Targets'!K24="","",'IB Targets'!K24)</f>
        <v/>
      </c>
      <c r="L23" s="10" t="str">
        <f aca="false">IF('IB Targets'!L24="","",'IB Targets'!L24)</f>
        <v/>
      </c>
    </row>
    <row r="24" customFormat="false" ht="15" hidden="false" customHeight="true" outlineLevel="0" collapsed="false">
      <c r="A24" s="8" t="s">
        <v>99</v>
      </c>
      <c r="B24" s="9" t="s">
        <v>19</v>
      </c>
      <c r="C24" s="9" t="s">
        <v>74</v>
      </c>
      <c r="D24" s="9" t="s">
        <v>100</v>
      </c>
      <c r="E24" s="9" t="s">
        <v>101</v>
      </c>
      <c r="F24" s="9" t="s">
        <v>102</v>
      </c>
      <c r="G24" s="9" t="s">
        <v>58</v>
      </c>
      <c r="H24" s="9" t="s">
        <v>37</v>
      </c>
      <c r="I24" s="9" t="str">
        <f aca="false">IF('IB Targets'!F25="","",'IB Targets'!F25)</f>
        <v/>
      </c>
      <c r="J24" s="9" t="str">
        <f aca="false">IF('IB Targets'!G25="","",'IB Targets'!G25)</f>
        <v/>
      </c>
      <c r="K24" s="9" t="str">
        <f aca="false">IF('IB Targets'!K25="","",'IB Targets'!K25)</f>
        <v/>
      </c>
      <c r="L24" s="10" t="str">
        <f aca="false">IF('IB Targets'!L25="","",'IB Targets'!L25)</f>
        <v/>
      </c>
    </row>
    <row r="25" customFormat="false" ht="15" hidden="false" customHeight="true" outlineLevel="0" collapsed="false">
      <c r="A25" s="8" t="s">
        <v>103</v>
      </c>
      <c r="B25" s="9" t="s">
        <v>19</v>
      </c>
      <c r="C25" s="9" t="s">
        <v>74</v>
      </c>
      <c r="D25" s="9" t="s">
        <v>21</v>
      </c>
      <c r="E25" s="9" t="s">
        <v>104</v>
      </c>
      <c r="F25" s="9" t="s">
        <v>102</v>
      </c>
      <c r="G25" s="9" t="s">
        <v>58</v>
      </c>
      <c r="H25" s="9" t="s">
        <v>37</v>
      </c>
      <c r="I25" s="9" t="str">
        <f aca="false">IF('IB Targets'!F26="","",'IB Targets'!F26)</f>
        <v/>
      </c>
      <c r="J25" s="9" t="str">
        <f aca="false">IF('IB Targets'!G26="","",'IB Targets'!G26)</f>
        <v/>
      </c>
      <c r="K25" s="9" t="str">
        <f aca="false">IF('IB Targets'!K26="","",'IB Targets'!K26)</f>
        <v/>
      </c>
      <c r="L25" s="10" t="str">
        <f aca="false">IF('IB Targets'!L26="","",'IB Targets'!L26)</f>
        <v/>
      </c>
    </row>
    <row r="26" customFormat="false" ht="15" hidden="false" customHeight="true" outlineLevel="0" collapsed="false">
      <c r="A26" s="8" t="s">
        <v>105</v>
      </c>
      <c r="B26" s="9" t="s">
        <v>19</v>
      </c>
      <c r="C26" s="9" t="s">
        <v>74</v>
      </c>
      <c r="D26" s="9" t="s">
        <v>106</v>
      </c>
      <c r="E26" s="9" t="s">
        <v>107</v>
      </c>
      <c r="F26" s="9" t="s">
        <v>102</v>
      </c>
      <c r="G26" s="9" t="s">
        <v>58</v>
      </c>
      <c r="H26" s="9" t="s">
        <v>37</v>
      </c>
      <c r="I26" s="9" t="str">
        <f aca="false">IF('IB Targets'!F27="","",'IB Targets'!F27)</f>
        <v/>
      </c>
      <c r="J26" s="9" t="str">
        <f aca="false">IF('IB Targets'!G27="","",'IB Targets'!G27)</f>
        <v/>
      </c>
      <c r="K26" s="9" t="str">
        <f aca="false">IF('IB Targets'!K27="","",'IB Targets'!K27)</f>
        <v/>
      </c>
      <c r="L26" s="10" t="str">
        <f aca="false">IF('IB Targets'!L27="","",'IB Targets'!L27)</f>
        <v/>
      </c>
    </row>
    <row r="27" customFormat="false" ht="23.25" hidden="false" customHeight="true" outlineLevel="0" collapsed="false">
      <c r="A27" s="8" t="s">
        <v>108</v>
      </c>
      <c r="B27" s="9" t="s">
        <v>19</v>
      </c>
      <c r="C27" s="9" t="s">
        <v>74</v>
      </c>
      <c r="D27" s="9" t="s">
        <v>109</v>
      </c>
      <c r="E27" s="9" t="s">
        <v>110</v>
      </c>
      <c r="F27" s="9" t="s">
        <v>111</v>
      </c>
      <c r="G27" s="9" t="s">
        <v>58</v>
      </c>
      <c r="H27" s="9" t="s">
        <v>112</v>
      </c>
      <c r="I27" s="9" t="str">
        <f aca="false">IF('IB Targets'!F28="","",'IB Targets'!F28)</f>
        <v/>
      </c>
      <c r="J27" s="9" t="str">
        <f aca="false">IF('IB Targets'!G28="","",'IB Targets'!G28)</f>
        <v/>
      </c>
      <c r="K27" s="9" t="str">
        <f aca="false">IF('IB Targets'!K28="","",'IB Targets'!K28)</f>
        <v/>
      </c>
      <c r="L27" s="10" t="str">
        <f aca="false">IF('IB Targets'!L28="","",'IB Targets'!L28)</f>
        <v/>
      </c>
    </row>
    <row r="28" customFormat="false" ht="23.25" hidden="false" customHeight="true" outlineLevel="0" collapsed="false">
      <c r="A28" s="8" t="s">
        <v>113</v>
      </c>
      <c r="B28" s="9" t="s">
        <v>19</v>
      </c>
      <c r="C28" s="9" t="s">
        <v>74</v>
      </c>
      <c r="D28" s="9" t="s">
        <v>114</v>
      </c>
      <c r="E28" s="9" t="s">
        <v>115</v>
      </c>
      <c r="F28" s="9" t="s">
        <v>88</v>
      </c>
      <c r="G28" s="9" t="s">
        <v>89</v>
      </c>
      <c r="H28" s="9" t="s">
        <v>116</v>
      </c>
      <c r="I28" s="9" t="str">
        <f aca="false">IF('IB Targets'!F29="","",'IB Targets'!F29)</f>
        <v/>
      </c>
      <c r="J28" s="9" t="str">
        <f aca="false">IF('IB Targets'!G29="","",'IB Targets'!G29)</f>
        <v/>
      </c>
      <c r="K28" s="9" t="str">
        <f aca="false">IF('IB Targets'!K29="","",'IB Targets'!K29)</f>
        <v/>
      </c>
      <c r="L28" s="10" t="str">
        <f aca="false">IF('IB Targets'!L29="","",'IB Targets'!L29)</f>
        <v/>
      </c>
    </row>
    <row r="29" customFormat="false" ht="23.25" hidden="false" customHeight="true" outlineLevel="0" collapsed="false">
      <c r="A29" s="8" t="s">
        <v>117</v>
      </c>
      <c r="B29" s="9" t="s">
        <v>118</v>
      </c>
      <c r="C29" s="9" t="s">
        <v>119</v>
      </c>
      <c r="D29" s="9" t="s">
        <v>120</v>
      </c>
      <c r="E29" s="9" t="s">
        <v>121</v>
      </c>
      <c r="F29" s="9" t="s">
        <v>122</v>
      </c>
      <c r="G29" s="9" t="s">
        <v>123</v>
      </c>
      <c r="H29" s="9" t="s">
        <v>124</v>
      </c>
      <c r="I29" s="9" t="str">
        <f aca="false">IF('Corp Dev Targets'!F6="","",'Corp Dev Targets'!F6)</f>
        <v/>
      </c>
      <c r="J29" s="9" t="str">
        <f aca="false">IF('Corp Dev Targets'!G6="","",'Corp Dev Targets'!G6)</f>
        <v/>
      </c>
      <c r="K29" s="9" t="str">
        <f aca="false">IF('Corp Dev Targets'!K6="","",'Corp Dev Targets'!K6)</f>
        <v/>
      </c>
      <c r="L29" s="10" t="str">
        <f aca="false">IF('Corp Dev Targets'!L6="","",'Corp Dev Targets'!L6)</f>
        <v/>
      </c>
    </row>
    <row r="30" customFormat="false" ht="23.25" hidden="false" customHeight="true" outlineLevel="0" collapsed="false">
      <c r="A30" s="8" t="s">
        <v>125</v>
      </c>
      <c r="B30" s="9" t="s">
        <v>118</v>
      </c>
      <c r="C30" s="9" t="s">
        <v>119</v>
      </c>
      <c r="D30" s="9" t="s">
        <v>126</v>
      </c>
      <c r="E30" s="9" t="s">
        <v>127</v>
      </c>
      <c r="F30" s="9" t="s">
        <v>128</v>
      </c>
      <c r="G30" s="9" t="s">
        <v>129</v>
      </c>
      <c r="H30" s="9" t="s">
        <v>130</v>
      </c>
      <c r="I30" s="9" t="str">
        <f aca="false">IF('Corp Dev Targets'!F7="","",'Corp Dev Targets'!F7)</f>
        <v/>
      </c>
      <c r="J30" s="9" t="str">
        <f aca="false">IF('Corp Dev Targets'!G7="","",'Corp Dev Targets'!G7)</f>
        <v/>
      </c>
      <c r="K30" s="9" t="str">
        <f aca="false">IF('Corp Dev Targets'!K7="","",'Corp Dev Targets'!K7)</f>
        <v/>
      </c>
      <c r="L30" s="10" t="str">
        <f aca="false">IF('Corp Dev Targets'!L7="","",'Corp Dev Targets'!L7)</f>
        <v/>
      </c>
    </row>
    <row r="31" customFormat="false" ht="23.25" hidden="false" customHeight="true" outlineLevel="0" collapsed="false">
      <c r="A31" s="8" t="s">
        <v>131</v>
      </c>
      <c r="B31" s="9" t="s">
        <v>118</v>
      </c>
      <c r="C31" s="9" t="s">
        <v>132</v>
      </c>
      <c r="D31" s="9" t="s">
        <v>133</v>
      </c>
      <c r="E31" s="9" t="s">
        <v>134</v>
      </c>
      <c r="F31" s="9" t="s">
        <v>135</v>
      </c>
      <c r="G31" s="9" t="s">
        <v>136</v>
      </c>
      <c r="H31" s="9" t="s">
        <v>137</v>
      </c>
      <c r="I31" s="9" t="str">
        <f aca="false">IF('Corp Dev Targets'!F8="","",'Corp Dev Targets'!F8)</f>
        <v/>
      </c>
      <c r="J31" s="9" t="str">
        <f aca="false">IF('Corp Dev Targets'!G8="","",'Corp Dev Targets'!G8)</f>
        <v/>
      </c>
      <c r="K31" s="9" t="str">
        <f aca="false">IF('Corp Dev Targets'!K8="","",'Corp Dev Targets'!K8)</f>
        <v/>
      </c>
      <c r="L31" s="10" t="str">
        <f aca="false">IF('Corp Dev Targets'!L8="","",'Corp Dev Targets'!L8)</f>
        <v/>
      </c>
    </row>
    <row r="32" customFormat="false" ht="23.25" hidden="false" customHeight="true" outlineLevel="0" collapsed="false">
      <c r="A32" s="8" t="s">
        <v>138</v>
      </c>
      <c r="B32" s="9" t="s">
        <v>118</v>
      </c>
      <c r="C32" s="9" t="s">
        <v>139</v>
      </c>
      <c r="D32" s="9" t="s">
        <v>140</v>
      </c>
      <c r="E32" s="9" t="s">
        <v>141</v>
      </c>
      <c r="F32" s="9" t="s">
        <v>142</v>
      </c>
      <c r="G32" s="9" t="s">
        <v>58</v>
      </c>
      <c r="H32" s="9" t="s">
        <v>143</v>
      </c>
      <c r="I32" s="9" t="str">
        <f aca="false">IF('Corp Dev Targets'!F9="","",'Corp Dev Targets'!F9)</f>
        <v/>
      </c>
      <c r="J32" s="9" t="str">
        <f aca="false">IF('Corp Dev Targets'!G9="","",'Corp Dev Targets'!G9)</f>
        <v/>
      </c>
      <c r="K32" s="9" t="str">
        <f aca="false">IF('Corp Dev Targets'!K9="","",'Corp Dev Targets'!K9)</f>
        <v/>
      </c>
      <c r="L32" s="10" t="str">
        <f aca="false">IF('Corp Dev Targets'!L9="","",'Corp Dev Targets'!L9)</f>
        <v/>
      </c>
    </row>
    <row r="33" customFormat="false" ht="23.25" hidden="false" customHeight="true" outlineLevel="0" collapsed="false">
      <c r="A33" s="8" t="s">
        <v>144</v>
      </c>
      <c r="B33" s="9" t="s">
        <v>118</v>
      </c>
      <c r="C33" s="9" t="s">
        <v>145</v>
      </c>
      <c r="D33" s="9" t="s">
        <v>146</v>
      </c>
      <c r="E33" s="9" t="s">
        <v>147</v>
      </c>
      <c r="F33" s="9" t="s">
        <v>148</v>
      </c>
      <c r="G33" s="9" t="s">
        <v>129</v>
      </c>
      <c r="H33" s="9" t="s">
        <v>149</v>
      </c>
      <c r="I33" s="9" t="str">
        <f aca="false">IF('Corp Dev Targets'!F10="","",'Corp Dev Targets'!F10)</f>
        <v/>
      </c>
      <c r="J33" s="9" t="str">
        <f aca="false">IF('Corp Dev Targets'!G10="","",'Corp Dev Targets'!G10)</f>
        <v/>
      </c>
      <c r="K33" s="9" t="str">
        <f aca="false">IF('Corp Dev Targets'!K10="","",'Corp Dev Targets'!K10)</f>
        <v/>
      </c>
      <c r="L33" s="10" t="str">
        <f aca="false">IF('Corp Dev Targets'!L10="","",'Corp Dev Targets'!L10)</f>
        <v/>
      </c>
    </row>
    <row r="34" customFormat="false" ht="15" hidden="false" customHeight="true" outlineLevel="0" collapsed="false">
      <c r="A34" s="8" t="s">
        <v>150</v>
      </c>
      <c r="B34" s="9" t="s">
        <v>118</v>
      </c>
      <c r="C34" s="9" t="s">
        <v>151</v>
      </c>
      <c r="D34" s="9" t="s">
        <v>152</v>
      </c>
      <c r="E34" s="9" t="s">
        <v>153</v>
      </c>
      <c r="F34" s="9" t="s">
        <v>154</v>
      </c>
      <c r="G34" s="9" t="s">
        <v>58</v>
      </c>
      <c r="H34" s="9" t="s">
        <v>37</v>
      </c>
      <c r="I34" s="9" t="str">
        <f aca="false">IF('Corp Dev Targets'!F11="","",'Corp Dev Targets'!F11)</f>
        <v/>
      </c>
      <c r="J34" s="9" t="str">
        <f aca="false">IF('Corp Dev Targets'!G11="","",'Corp Dev Targets'!G11)</f>
        <v/>
      </c>
      <c r="K34" s="9" t="str">
        <f aca="false">IF('Corp Dev Targets'!K11="","",'Corp Dev Targets'!K11)</f>
        <v/>
      </c>
      <c r="L34" s="10" t="str">
        <f aca="false">IF('Corp Dev Targets'!L11="","",'Corp Dev Targets'!L11)</f>
        <v/>
      </c>
    </row>
    <row r="35" customFormat="false" ht="23.25" hidden="false" customHeight="true" outlineLevel="0" collapsed="false">
      <c r="A35" s="8" t="s">
        <v>155</v>
      </c>
      <c r="B35" s="9" t="s">
        <v>118</v>
      </c>
      <c r="C35" s="9" t="s">
        <v>156</v>
      </c>
      <c r="D35" s="9" t="s">
        <v>157</v>
      </c>
      <c r="E35" s="9" t="s">
        <v>158</v>
      </c>
      <c r="F35" s="9" t="s">
        <v>159</v>
      </c>
      <c r="G35" s="9" t="s">
        <v>58</v>
      </c>
      <c r="H35" s="9" t="s">
        <v>160</v>
      </c>
      <c r="I35" s="9" t="str">
        <f aca="false">IF('Corp Dev Targets'!F12="","",'Corp Dev Targets'!F12)</f>
        <v/>
      </c>
      <c r="J35" s="9" t="str">
        <f aca="false">IF('Corp Dev Targets'!G12="","",'Corp Dev Targets'!G12)</f>
        <v/>
      </c>
      <c r="K35" s="9" t="str">
        <f aca="false">IF('Corp Dev Targets'!K12="","",'Corp Dev Targets'!K12)</f>
        <v/>
      </c>
      <c r="L35" s="10" t="str">
        <f aca="false">IF('Corp Dev Targets'!L12="","",'Corp Dev Targets'!L12)</f>
        <v/>
      </c>
    </row>
    <row r="36" customFormat="false" ht="23.25" hidden="false" customHeight="true" outlineLevel="0" collapsed="false">
      <c r="A36" s="8" t="s">
        <v>161</v>
      </c>
      <c r="B36" s="9" t="s">
        <v>118</v>
      </c>
      <c r="C36" s="9" t="s">
        <v>162</v>
      </c>
      <c r="D36" s="9" t="s">
        <v>163</v>
      </c>
      <c r="E36" s="9" t="s">
        <v>164</v>
      </c>
      <c r="F36" s="9" t="s">
        <v>165</v>
      </c>
      <c r="G36" s="9" t="s">
        <v>166</v>
      </c>
      <c r="H36" s="9" t="s">
        <v>167</v>
      </c>
      <c r="I36" s="9" t="str">
        <f aca="false">IF('Corp Dev Targets'!F13="","",'Corp Dev Targets'!F13)</f>
        <v/>
      </c>
      <c r="J36" s="9" t="str">
        <f aca="false">IF('Corp Dev Targets'!G13="","",'Corp Dev Targets'!G13)</f>
        <v/>
      </c>
      <c r="K36" s="9" t="str">
        <f aca="false">IF('Corp Dev Targets'!K13="","",'Corp Dev Targets'!K13)</f>
        <v/>
      </c>
      <c r="L36" s="10" t="str">
        <f aca="false">IF('Corp Dev Targets'!L13="","",'Corp Dev Targets'!L13)</f>
        <v/>
      </c>
    </row>
    <row r="37" customFormat="false" ht="23.25" hidden="false" customHeight="true" outlineLevel="0" collapsed="false">
      <c r="A37" s="8" t="s">
        <v>168</v>
      </c>
      <c r="B37" s="9" t="s">
        <v>118</v>
      </c>
      <c r="C37" s="9" t="s">
        <v>169</v>
      </c>
      <c r="D37" s="9" t="s">
        <v>21</v>
      </c>
      <c r="E37" s="9" t="s">
        <v>170</v>
      </c>
      <c r="F37" s="9" t="s">
        <v>171</v>
      </c>
      <c r="G37" s="9" t="s">
        <v>172</v>
      </c>
      <c r="H37" s="9" t="s">
        <v>173</v>
      </c>
      <c r="I37" s="9" t="str">
        <f aca="false">IF('Corp Dev Targets'!F14="","",'Corp Dev Targets'!F14)</f>
        <v/>
      </c>
      <c r="J37" s="9" t="str">
        <f aca="false">IF('Corp Dev Targets'!G14="","",'Corp Dev Targets'!G14)</f>
        <v/>
      </c>
      <c r="K37" s="9" t="str">
        <f aca="false">IF('Corp Dev Targets'!K14="","",'Corp Dev Targets'!K14)</f>
        <v/>
      </c>
      <c r="L37" s="10" t="str">
        <f aca="false">IF('Corp Dev Targets'!L14="","",'Corp Dev Targets'!L14)</f>
        <v/>
      </c>
    </row>
    <row r="38" customFormat="false" ht="23.25" hidden="false" customHeight="true" outlineLevel="0" collapsed="false">
      <c r="A38" s="8" t="s">
        <v>174</v>
      </c>
      <c r="B38" s="9" t="s">
        <v>118</v>
      </c>
      <c r="C38" s="9" t="s">
        <v>156</v>
      </c>
      <c r="D38" s="9" t="s">
        <v>175</v>
      </c>
      <c r="E38" s="9" t="s">
        <v>176</v>
      </c>
      <c r="F38" s="9" t="s">
        <v>177</v>
      </c>
      <c r="G38" s="9" t="s">
        <v>89</v>
      </c>
      <c r="H38" s="9" t="s">
        <v>178</v>
      </c>
      <c r="I38" s="9" t="str">
        <f aca="false">IF('Corp Dev Targets'!F15="","",'Corp Dev Targets'!F15)</f>
        <v/>
      </c>
      <c r="J38" s="9" t="str">
        <f aca="false">IF('Corp Dev Targets'!G15="","",'Corp Dev Targets'!G15)</f>
        <v/>
      </c>
      <c r="K38" s="9" t="str">
        <f aca="false">IF('Corp Dev Targets'!K15="","",'Corp Dev Targets'!K15)</f>
        <v/>
      </c>
      <c r="L38" s="10" t="str">
        <f aca="false">IF('Corp Dev Targets'!L15="","",'Corp Dev Targets'!L15)</f>
        <v/>
      </c>
    </row>
    <row r="39" customFormat="false" ht="23.25" hidden="false" customHeight="true" outlineLevel="0" collapsed="false">
      <c r="A39" s="8" t="s">
        <v>179</v>
      </c>
      <c r="B39" s="9" t="s">
        <v>118</v>
      </c>
      <c r="C39" s="9" t="s">
        <v>180</v>
      </c>
      <c r="D39" s="9" t="s">
        <v>163</v>
      </c>
      <c r="E39" s="9" t="s">
        <v>181</v>
      </c>
      <c r="F39" s="9" t="s">
        <v>182</v>
      </c>
      <c r="G39" s="9" t="s">
        <v>58</v>
      </c>
      <c r="H39" s="9" t="s">
        <v>183</v>
      </c>
      <c r="I39" s="9" t="str">
        <f aca="false">IF('Corp Dev Targets'!F16="","",'Corp Dev Targets'!F16)</f>
        <v/>
      </c>
      <c r="J39" s="9" t="str">
        <f aca="false">IF('Corp Dev Targets'!G16="","",'Corp Dev Targets'!G16)</f>
        <v/>
      </c>
      <c r="K39" s="9" t="str">
        <f aca="false">IF('Corp Dev Targets'!K16="","",'Corp Dev Targets'!K16)</f>
        <v/>
      </c>
      <c r="L39" s="10" t="str">
        <f aca="false">IF('Corp Dev Targets'!L16="","",'Corp Dev Targets'!L16)</f>
        <v/>
      </c>
    </row>
    <row r="40" customFormat="false" ht="15" hidden="false" customHeight="true" outlineLevel="0" collapsed="false">
      <c r="A40" s="8" t="s">
        <v>184</v>
      </c>
      <c r="B40" s="9" t="s">
        <v>118</v>
      </c>
      <c r="C40" s="9" t="s">
        <v>185</v>
      </c>
      <c r="D40" s="9" t="s">
        <v>186</v>
      </c>
      <c r="E40" s="9" t="s">
        <v>187</v>
      </c>
      <c r="F40" s="9" t="s">
        <v>182</v>
      </c>
      <c r="G40" s="9" t="s">
        <v>58</v>
      </c>
      <c r="H40" s="9" t="s">
        <v>188</v>
      </c>
      <c r="I40" s="9" t="str">
        <f aca="false">IF('Corp Dev Targets'!F17="","",'Corp Dev Targets'!F17)</f>
        <v/>
      </c>
      <c r="J40" s="9" t="str">
        <f aca="false">IF('Corp Dev Targets'!G17="","",'Corp Dev Targets'!G17)</f>
        <v/>
      </c>
      <c r="K40" s="9" t="str">
        <f aca="false">IF('Corp Dev Targets'!K17="","",'Corp Dev Targets'!K17)</f>
        <v/>
      </c>
      <c r="L40" s="10" t="str">
        <f aca="false">IF('Corp Dev Targets'!L17="","",'Corp Dev Targets'!L17)</f>
        <v/>
      </c>
    </row>
    <row r="41" customFormat="false" ht="15" hidden="false" customHeight="true" outlineLevel="0" collapsed="false">
      <c r="A41" s="8" t="s">
        <v>189</v>
      </c>
      <c r="B41" s="9" t="s">
        <v>118</v>
      </c>
      <c r="C41" s="9" t="s">
        <v>190</v>
      </c>
      <c r="D41" s="9" t="s">
        <v>21</v>
      </c>
      <c r="E41" s="9" t="s">
        <v>191</v>
      </c>
      <c r="F41" s="9" t="s">
        <v>192</v>
      </c>
      <c r="G41" s="9" t="s">
        <v>58</v>
      </c>
      <c r="H41" s="9" t="s">
        <v>193</v>
      </c>
      <c r="I41" s="9" t="str">
        <f aca="false">IF('Corp Dev Targets'!F18="","",'Corp Dev Targets'!F18)</f>
        <v/>
      </c>
      <c r="J41" s="9" t="str">
        <f aca="false">IF('Corp Dev Targets'!G18="","",'Corp Dev Targets'!G18)</f>
        <v/>
      </c>
      <c r="K41" s="9" t="str">
        <f aca="false">IF('Corp Dev Targets'!K18="","",'Corp Dev Targets'!K18)</f>
        <v/>
      </c>
      <c r="L41" s="10" t="str">
        <f aca="false">IF('Corp Dev Targets'!L18="","",'Corp Dev Targets'!L18)</f>
        <v/>
      </c>
    </row>
    <row r="42" customFormat="false" ht="23.25" hidden="false" customHeight="true" outlineLevel="0" collapsed="false">
      <c r="A42" s="8" t="s">
        <v>194</v>
      </c>
      <c r="B42" s="9" t="s">
        <v>118</v>
      </c>
      <c r="C42" s="9" t="s">
        <v>132</v>
      </c>
      <c r="D42" s="9" t="s">
        <v>195</v>
      </c>
      <c r="E42" s="9" t="s">
        <v>196</v>
      </c>
      <c r="F42" s="9" t="s">
        <v>182</v>
      </c>
      <c r="G42" s="9" t="s">
        <v>58</v>
      </c>
      <c r="H42" s="9" t="s">
        <v>197</v>
      </c>
      <c r="I42" s="9" t="str">
        <f aca="false">IF('Corp Dev Targets'!F19="","",'Corp Dev Targets'!F19)</f>
        <v/>
      </c>
      <c r="J42" s="9" t="str">
        <f aca="false">IF('Corp Dev Targets'!G19="","",'Corp Dev Targets'!G19)</f>
        <v/>
      </c>
      <c r="K42" s="9" t="str">
        <f aca="false">IF('Corp Dev Targets'!K19="","",'Corp Dev Targets'!K19)</f>
        <v/>
      </c>
      <c r="L42" s="10" t="str">
        <f aca="false">IF('Corp Dev Targets'!L19="","",'Corp Dev Targets'!L19)</f>
        <v/>
      </c>
    </row>
    <row r="43" customFormat="false" ht="23.25" hidden="false" customHeight="true" outlineLevel="0" collapsed="false">
      <c r="A43" s="8" t="s">
        <v>198</v>
      </c>
      <c r="B43" s="9" t="s">
        <v>118</v>
      </c>
      <c r="C43" s="9" t="s">
        <v>132</v>
      </c>
      <c r="D43" s="9" t="s">
        <v>199</v>
      </c>
      <c r="E43" s="9" t="s">
        <v>200</v>
      </c>
      <c r="F43" s="9" t="s">
        <v>201</v>
      </c>
      <c r="G43" s="9" t="s">
        <v>129</v>
      </c>
      <c r="H43" s="9" t="s">
        <v>202</v>
      </c>
      <c r="I43" s="9" t="str">
        <f aca="false">IF('Corp Dev Targets'!F20="","",'Corp Dev Targets'!F20)</f>
        <v/>
      </c>
      <c r="J43" s="9" t="str">
        <f aca="false">IF('Corp Dev Targets'!G20="","",'Corp Dev Targets'!G20)</f>
        <v/>
      </c>
      <c r="K43" s="9" t="str">
        <f aca="false">IF('Corp Dev Targets'!K20="","",'Corp Dev Targets'!K20)</f>
        <v/>
      </c>
      <c r="L43" s="10" t="str">
        <f aca="false">IF('Corp Dev Targets'!L20="","",'Corp Dev Targets'!L20)</f>
        <v/>
      </c>
    </row>
    <row r="44" customFormat="false" ht="23.25" hidden="false" customHeight="true" outlineLevel="0" collapsed="false">
      <c r="A44" s="8" t="s">
        <v>203</v>
      </c>
      <c r="B44" s="9" t="s">
        <v>118</v>
      </c>
      <c r="C44" s="9" t="s">
        <v>204</v>
      </c>
      <c r="D44" s="9" t="s">
        <v>163</v>
      </c>
      <c r="E44" s="9" t="s">
        <v>205</v>
      </c>
      <c r="F44" s="9" t="s">
        <v>206</v>
      </c>
      <c r="G44" s="9" t="s">
        <v>129</v>
      </c>
      <c r="H44" s="9" t="s">
        <v>207</v>
      </c>
      <c r="I44" s="9" t="str">
        <f aca="false">IF('Corp Dev Targets'!F21="","",'Corp Dev Targets'!F21)</f>
        <v/>
      </c>
      <c r="J44" s="9" t="str">
        <f aca="false">IF('Corp Dev Targets'!G21="","",'Corp Dev Targets'!G21)</f>
        <v/>
      </c>
      <c r="K44" s="9" t="str">
        <f aca="false">IF('Corp Dev Targets'!K21="","",'Corp Dev Targets'!K21)</f>
        <v/>
      </c>
      <c r="L44" s="10" t="str">
        <f aca="false">IF('Corp Dev Targets'!L21="","",'Corp Dev Targets'!L21)</f>
        <v/>
      </c>
    </row>
    <row r="45" customFormat="false" ht="15" hidden="false" customHeight="true" outlineLevel="0" collapsed="false">
      <c r="A45" s="8" t="s">
        <v>208</v>
      </c>
      <c r="B45" s="9" t="s">
        <v>118</v>
      </c>
      <c r="C45" s="9" t="s">
        <v>209</v>
      </c>
      <c r="D45" s="9" t="s">
        <v>210</v>
      </c>
      <c r="E45" s="9" t="s">
        <v>211</v>
      </c>
      <c r="F45" s="9" t="s">
        <v>212</v>
      </c>
      <c r="G45" s="9" t="s">
        <v>58</v>
      </c>
      <c r="H45" s="9" t="s">
        <v>213</v>
      </c>
      <c r="I45" s="9" t="str">
        <f aca="false">IF('Corp Dev Targets'!F22="","",'Corp Dev Targets'!F22)</f>
        <v/>
      </c>
      <c r="J45" s="9" t="str">
        <f aca="false">IF('Corp Dev Targets'!G22="","",'Corp Dev Targets'!G22)</f>
        <v/>
      </c>
      <c r="K45" s="9" t="str">
        <f aca="false">IF('Corp Dev Targets'!K22="","",'Corp Dev Targets'!K22)</f>
        <v/>
      </c>
      <c r="L45" s="10" t="str">
        <f aca="false">IF('Corp Dev Targets'!L22="","",'Corp Dev Targets'!L22)</f>
        <v/>
      </c>
    </row>
    <row r="46" customFormat="false" ht="23.25" hidden="false" customHeight="true" outlineLevel="0" collapsed="false">
      <c r="A46" s="8" t="s">
        <v>214</v>
      </c>
      <c r="B46" s="9" t="s">
        <v>118</v>
      </c>
      <c r="C46" s="9" t="s">
        <v>215</v>
      </c>
      <c r="D46" s="9" t="s">
        <v>21</v>
      </c>
      <c r="E46" s="9" t="s">
        <v>216</v>
      </c>
      <c r="F46" s="9" t="s">
        <v>217</v>
      </c>
      <c r="G46" s="9" t="s">
        <v>129</v>
      </c>
      <c r="H46" s="9" t="s">
        <v>218</v>
      </c>
      <c r="I46" s="9" t="str">
        <f aca="false">IF('Corp Dev Targets'!F23="","",'Corp Dev Targets'!F23)</f>
        <v/>
      </c>
      <c r="J46" s="9" t="str">
        <f aca="false">IF('Corp Dev Targets'!G23="","",'Corp Dev Targets'!G23)</f>
        <v/>
      </c>
      <c r="K46" s="9" t="str">
        <f aca="false">IF('Corp Dev Targets'!K23="","",'Corp Dev Targets'!K23)</f>
        <v/>
      </c>
      <c r="L46" s="10" t="str">
        <f aca="false">IF('Corp Dev Targets'!L23="","",'Corp Dev Targets'!L23)</f>
        <v/>
      </c>
    </row>
    <row r="47" customFormat="false" ht="23.25" hidden="false" customHeight="true" outlineLevel="0" collapsed="false">
      <c r="A47" s="8" t="s">
        <v>219</v>
      </c>
      <c r="B47" s="9" t="s">
        <v>118</v>
      </c>
      <c r="C47" s="9" t="s">
        <v>220</v>
      </c>
      <c r="D47" s="9" t="s">
        <v>21</v>
      </c>
      <c r="E47" s="9" t="s">
        <v>221</v>
      </c>
      <c r="F47" s="9" t="s">
        <v>192</v>
      </c>
      <c r="G47" s="9" t="s">
        <v>58</v>
      </c>
      <c r="H47" s="9" t="s">
        <v>222</v>
      </c>
      <c r="I47" s="9" t="str">
        <f aca="false">IF('Corp Dev Targets'!F24="","",'Corp Dev Targets'!F24)</f>
        <v/>
      </c>
      <c r="J47" s="9" t="str">
        <f aca="false">IF('Corp Dev Targets'!G24="","",'Corp Dev Targets'!G24)</f>
        <v/>
      </c>
      <c r="K47" s="9" t="str">
        <f aca="false">IF('Corp Dev Targets'!K24="","",'Corp Dev Targets'!K24)</f>
        <v/>
      </c>
      <c r="L47" s="10" t="str">
        <f aca="false">IF('Corp Dev Targets'!L24="","",'Corp Dev Targets'!L24)</f>
        <v/>
      </c>
    </row>
    <row r="48" customFormat="false" ht="23.25" hidden="false" customHeight="true" outlineLevel="0" collapsed="false">
      <c r="A48" s="8" t="s">
        <v>223</v>
      </c>
      <c r="B48" s="9" t="s">
        <v>118</v>
      </c>
      <c r="C48" s="9" t="s">
        <v>224</v>
      </c>
      <c r="D48" s="9" t="s">
        <v>21</v>
      </c>
      <c r="E48" s="9" t="s">
        <v>225</v>
      </c>
      <c r="F48" s="9" t="s">
        <v>192</v>
      </c>
      <c r="G48" s="9" t="s">
        <v>58</v>
      </c>
      <c r="H48" s="9" t="s">
        <v>226</v>
      </c>
      <c r="I48" s="9" t="str">
        <f aca="false">IF('Corp Dev Targets'!F25="","",'Corp Dev Targets'!F25)</f>
        <v/>
      </c>
      <c r="J48" s="9" t="str">
        <f aca="false">IF('Corp Dev Targets'!G25="","",'Corp Dev Targets'!G25)</f>
        <v/>
      </c>
      <c r="K48" s="9" t="str">
        <f aca="false">IF('Corp Dev Targets'!K25="","",'Corp Dev Targets'!K25)</f>
        <v/>
      </c>
      <c r="L48" s="10" t="str">
        <f aca="false">IF('Corp Dev Targets'!L25="","",'Corp Dev Targets'!L25)</f>
        <v/>
      </c>
    </row>
    <row r="49" customFormat="false" ht="23.25" hidden="false" customHeight="true" outlineLevel="0" collapsed="false">
      <c r="A49" s="8" t="s">
        <v>227</v>
      </c>
      <c r="B49" s="9" t="s">
        <v>118</v>
      </c>
      <c r="C49" s="9" t="s">
        <v>162</v>
      </c>
      <c r="D49" s="9" t="s">
        <v>21</v>
      </c>
      <c r="E49" s="9" t="s">
        <v>228</v>
      </c>
      <c r="F49" s="9" t="s">
        <v>229</v>
      </c>
      <c r="G49" s="9" t="s">
        <v>58</v>
      </c>
      <c r="H49" s="9" t="s">
        <v>230</v>
      </c>
      <c r="I49" s="9" t="str">
        <f aca="false">IF('Corp Dev Targets'!F26="","",'Corp Dev Targets'!F26)</f>
        <v/>
      </c>
      <c r="J49" s="9" t="str">
        <f aca="false">IF('Corp Dev Targets'!G26="","",'Corp Dev Targets'!G26)</f>
        <v/>
      </c>
      <c r="K49" s="9" t="str">
        <f aca="false">IF('Corp Dev Targets'!K26="","",'Corp Dev Targets'!K26)</f>
        <v/>
      </c>
      <c r="L49" s="10" t="str">
        <f aca="false">IF('Corp Dev Targets'!L26="","",'Corp Dev Targets'!L26)</f>
        <v/>
      </c>
    </row>
    <row r="50" customFormat="false" ht="15" hidden="false" customHeight="true" outlineLevel="0" collapsed="false">
      <c r="A50" s="8" t="s">
        <v>231</v>
      </c>
      <c r="B50" s="9" t="s">
        <v>118</v>
      </c>
      <c r="C50" s="9" t="s">
        <v>232</v>
      </c>
      <c r="D50" s="9" t="s">
        <v>233</v>
      </c>
      <c r="E50" s="9" t="s">
        <v>234</v>
      </c>
      <c r="F50" s="9" t="s">
        <v>235</v>
      </c>
      <c r="G50" s="9" t="s">
        <v>58</v>
      </c>
      <c r="H50" s="9" t="s">
        <v>236</v>
      </c>
      <c r="I50" s="9" t="str">
        <f aca="false">IF('Corp Dev Targets'!F27="","",'Corp Dev Targets'!F27)</f>
        <v/>
      </c>
      <c r="J50" s="9" t="str">
        <f aca="false">IF('Corp Dev Targets'!G27="","",'Corp Dev Targets'!G27)</f>
        <v/>
      </c>
      <c r="K50" s="9" t="str">
        <f aca="false">IF('Corp Dev Targets'!K27="","",'Corp Dev Targets'!K27)</f>
        <v/>
      </c>
      <c r="L50" s="10" t="str">
        <f aca="false">IF('Corp Dev Targets'!L27="","",'Corp Dev Targets'!L27)</f>
        <v/>
      </c>
    </row>
    <row r="51" customFormat="false" ht="15" hidden="false" customHeight="true" outlineLevel="0" collapsed="false">
      <c r="A51" s="8" t="s">
        <v>237</v>
      </c>
      <c r="B51" s="9" t="s">
        <v>118</v>
      </c>
      <c r="C51" s="9" t="s">
        <v>238</v>
      </c>
      <c r="D51" s="9" t="s">
        <v>239</v>
      </c>
      <c r="E51" s="9" t="s">
        <v>240</v>
      </c>
      <c r="F51" s="9" t="s">
        <v>241</v>
      </c>
      <c r="G51" s="9" t="s">
        <v>58</v>
      </c>
      <c r="H51" s="9" t="s">
        <v>242</v>
      </c>
      <c r="I51" s="9" t="str">
        <f aca="false">IF('Corp Dev Targets'!F28="","",'Corp Dev Targets'!F28)</f>
        <v/>
      </c>
      <c r="J51" s="9" t="str">
        <f aca="false">IF('Corp Dev Targets'!G28="","",'Corp Dev Targets'!G28)</f>
        <v/>
      </c>
      <c r="K51" s="9" t="str">
        <f aca="false">IF('Corp Dev Targets'!K28="","",'Corp Dev Targets'!K28)</f>
        <v/>
      </c>
      <c r="L51" s="10" t="str">
        <f aca="false">IF('Corp Dev Targets'!L28="","",'Corp Dev Targets'!L28)</f>
        <v/>
      </c>
    </row>
    <row r="52" customFormat="false" ht="15" hidden="false" customHeight="true" outlineLevel="0" collapsed="false">
      <c r="A52" s="8" t="s">
        <v>243</v>
      </c>
      <c r="B52" s="9" t="s">
        <v>118</v>
      </c>
      <c r="C52" s="9" t="s">
        <v>244</v>
      </c>
      <c r="D52" s="9" t="s">
        <v>21</v>
      </c>
      <c r="E52" s="9" t="s">
        <v>245</v>
      </c>
      <c r="F52" s="9" t="s">
        <v>246</v>
      </c>
      <c r="G52" s="9" t="s">
        <v>58</v>
      </c>
      <c r="H52" s="9" t="s">
        <v>247</v>
      </c>
      <c r="I52" s="9" t="str">
        <f aca="false">IF('Corp Dev Targets'!F29="","",'Corp Dev Targets'!F29)</f>
        <v/>
      </c>
      <c r="J52" s="9" t="str">
        <f aca="false">IF('Corp Dev Targets'!G29="","",'Corp Dev Targets'!G29)</f>
        <v/>
      </c>
      <c r="K52" s="9" t="str">
        <f aca="false">IF('Corp Dev Targets'!K29="","",'Corp Dev Targets'!K29)</f>
        <v/>
      </c>
      <c r="L52" s="10" t="str">
        <f aca="false">IF('Corp Dev Targets'!L29="","",'Corp Dev Targets'!L29)</f>
        <v/>
      </c>
    </row>
    <row r="53" customFormat="false" ht="15" hidden="false" customHeight="true" outlineLevel="0" collapsed="false">
      <c r="A53" s="8" t="s">
        <v>248</v>
      </c>
      <c r="B53" s="9" t="s">
        <v>249</v>
      </c>
      <c r="C53" s="9" t="s">
        <v>250</v>
      </c>
      <c r="D53" s="9" t="s">
        <v>21</v>
      </c>
      <c r="E53" s="9" t="s">
        <v>251</v>
      </c>
      <c r="F53" s="9" t="s">
        <v>252</v>
      </c>
      <c r="G53" s="9" t="s">
        <v>253</v>
      </c>
      <c r="H53" s="9" t="s">
        <v>254</v>
      </c>
      <c r="I53" s="9" t="str">
        <f aca="false">IF('VC Targets'!F6="","",'VC Targets'!F6)</f>
        <v/>
      </c>
      <c r="J53" s="9" t="str">
        <f aca="false">IF('VC Targets'!G6="","",'VC Targets'!G6)</f>
        <v/>
      </c>
      <c r="K53" s="9" t="str">
        <f aca="false">IF('VC Targets'!K6="","",'VC Targets'!K6)</f>
        <v/>
      </c>
      <c r="L53" s="10" t="str">
        <f aca="false">IF('VC Targets'!L6="","",'VC Targets'!L6)</f>
        <v/>
      </c>
    </row>
    <row r="54" customFormat="false" ht="39.75" hidden="false" customHeight="true" outlineLevel="0" collapsed="false">
      <c r="A54" s="8" t="s">
        <v>255</v>
      </c>
      <c r="B54" s="9" t="s">
        <v>249</v>
      </c>
      <c r="C54" s="9" t="s">
        <v>256</v>
      </c>
      <c r="D54" s="9" t="s">
        <v>21</v>
      </c>
      <c r="E54" s="9" t="s">
        <v>257</v>
      </c>
      <c r="F54" s="9" t="s">
        <v>258</v>
      </c>
      <c r="G54" s="9" t="s">
        <v>58</v>
      </c>
      <c r="H54" s="9" t="s">
        <v>259</v>
      </c>
      <c r="I54" s="9" t="str">
        <f aca="false">IF('VC Targets'!F7="","",'VC Targets'!F7)</f>
        <v/>
      </c>
      <c r="J54" s="9" t="str">
        <f aca="false">IF('VC Targets'!G7="","",'VC Targets'!G7)</f>
        <v/>
      </c>
      <c r="K54" s="9" t="str">
        <f aca="false">IF('VC Targets'!K7="","",'VC Targets'!K7)</f>
        <v/>
      </c>
      <c r="L54" s="10" t="str">
        <f aca="false">IF('VC Targets'!L7="","",'VC Targets'!L7)</f>
        <v/>
      </c>
    </row>
    <row r="55" customFormat="false" ht="23.25" hidden="false" customHeight="true" outlineLevel="0" collapsed="false">
      <c r="A55" s="8" t="s">
        <v>260</v>
      </c>
      <c r="B55" s="9" t="s">
        <v>249</v>
      </c>
      <c r="C55" s="9" t="s">
        <v>261</v>
      </c>
      <c r="D55" s="9" t="s">
        <v>21</v>
      </c>
      <c r="E55" s="9" t="s">
        <v>262</v>
      </c>
      <c r="F55" s="9" t="s">
        <v>263</v>
      </c>
      <c r="G55" s="9" t="s">
        <v>58</v>
      </c>
      <c r="H55" s="9" t="s">
        <v>37</v>
      </c>
      <c r="I55" s="9" t="str">
        <f aca="false">IF('VC Targets'!F8="","",'VC Targets'!F8)</f>
        <v/>
      </c>
      <c r="J55" s="9" t="str">
        <f aca="false">IF('VC Targets'!G8="","",'VC Targets'!G8)</f>
        <v/>
      </c>
      <c r="K55" s="9" t="str">
        <f aca="false">IF('VC Targets'!K8="","",'VC Targets'!K8)</f>
        <v/>
      </c>
      <c r="L55" s="10" t="str">
        <f aca="false">IF('VC Targets'!L8="","",'VC Targets'!L8)</f>
        <v/>
      </c>
    </row>
    <row r="56" customFormat="false" ht="23.25" hidden="false" customHeight="true" outlineLevel="0" collapsed="false">
      <c r="A56" s="8" t="s">
        <v>264</v>
      </c>
      <c r="B56" s="9" t="s">
        <v>249</v>
      </c>
      <c r="C56" s="9" t="s">
        <v>261</v>
      </c>
      <c r="D56" s="9" t="s">
        <v>265</v>
      </c>
      <c r="E56" s="9" t="s">
        <v>266</v>
      </c>
      <c r="F56" s="9" t="s">
        <v>267</v>
      </c>
      <c r="G56" s="9" t="s">
        <v>58</v>
      </c>
      <c r="H56" s="9" t="s">
        <v>268</v>
      </c>
      <c r="I56" s="9" t="str">
        <f aca="false">IF('VC Targets'!F9="","",'VC Targets'!F9)</f>
        <v/>
      </c>
      <c r="J56" s="9" t="str">
        <f aca="false">IF('VC Targets'!G9="","",'VC Targets'!G9)</f>
        <v/>
      </c>
      <c r="K56" s="9" t="str">
        <f aca="false">IF('VC Targets'!K9="","",'VC Targets'!K9)</f>
        <v/>
      </c>
      <c r="L56" s="10" t="str">
        <f aca="false">IF('VC Targets'!L9="","",'VC Targets'!L9)</f>
        <v/>
      </c>
    </row>
    <row r="57" customFormat="false" ht="23.25" hidden="false" customHeight="true" outlineLevel="0" collapsed="false">
      <c r="A57" s="8" t="s">
        <v>269</v>
      </c>
      <c r="B57" s="9" t="s">
        <v>249</v>
      </c>
      <c r="C57" s="9" t="s">
        <v>261</v>
      </c>
      <c r="D57" s="9" t="s">
        <v>265</v>
      </c>
      <c r="E57" s="9" t="s">
        <v>270</v>
      </c>
      <c r="F57" s="9" t="s">
        <v>271</v>
      </c>
      <c r="G57" s="9" t="s">
        <v>272</v>
      </c>
      <c r="H57" s="9" t="s">
        <v>273</v>
      </c>
      <c r="I57" s="9" t="str">
        <f aca="false">IF('VC Targets'!F10="","",'VC Targets'!F10)</f>
        <v/>
      </c>
      <c r="J57" s="9" t="str">
        <f aca="false">IF('VC Targets'!G10="","",'VC Targets'!G10)</f>
        <v/>
      </c>
      <c r="K57" s="9" t="str">
        <f aca="false">IF('VC Targets'!K10="","",'VC Targets'!K10)</f>
        <v/>
      </c>
      <c r="L57" s="10" t="str">
        <f aca="false">IF('VC Targets'!L10="","",'VC Targets'!L10)</f>
        <v/>
      </c>
    </row>
    <row r="58" customFormat="false" ht="15" hidden="false" customHeight="true" outlineLevel="0" collapsed="false">
      <c r="A58" s="8" t="s">
        <v>274</v>
      </c>
      <c r="B58" s="9" t="s">
        <v>249</v>
      </c>
      <c r="C58" s="9" t="s">
        <v>261</v>
      </c>
      <c r="D58" s="9" t="s">
        <v>21</v>
      </c>
      <c r="E58" s="9" t="s">
        <v>275</v>
      </c>
      <c r="F58" s="9" t="s">
        <v>276</v>
      </c>
      <c r="G58" s="9" t="s">
        <v>58</v>
      </c>
      <c r="H58" s="9" t="s">
        <v>277</v>
      </c>
      <c r="I58" s="9" t="str">
        <f aca="false">IF('VC Targets'!F11="","",'VC Targets'!F11)</f>
        <v/>
      </c>
      <c r="J58" s="9" t="str">
        <f aca="false">IF('VC Targets'!G11="","",'VC Targets'!G11)</f>
        <v/>
      </c>
      <c r="K58" s="9" t="str">
        <f aca="false">IF('VC Targets'!K11="","",'VC Targets'!K11)</f>
        <v/>
      </c>
      <c r="L58" s="10" t="str">
        <f aca="false">IF('VC Targets'!L11="","",'VC Targets'!L11)</f>
        <v/>
      </c>
    </row>
    <row r="59" customFormat="false" ht="15" hidden="false" customHeight="true" outlineLevel="0" collapsed="false">
      <c r="A59" s="8" t="s">
        <v>278</v>
      </c>
      <c r="B59" s="9" t="s">
        <v>249</v>
      </c>
      <c r="C59" s="9" t="s">
        <v>279</v>
      </c>
      <c r="D59" s="9" t="s">
        <v>21</v>
      </c>
      <c r="E59" s="9" t="s">
        <v>280</v>
      </c>
      <c r="F59" s="9" t="s">
        <v>281</v>
      </c>
      <c r="G59" s="9" t="s">
        <v>58</v>
      </c>
      <c r="H59" s="9" t="s">
        <v>282</v>
      </c>
      <c r="I59" s="9" t="str">
        <f aca="false">IF('VC Targets'!F12="","",'VC Targets'!F12)</f>
        <v/>
      </c>
      <c r="J59" s="9" t="str">
        <f aca="false">IF('VC Targets'!G12="","",'VC Targets'!G12)</f>
        <v/>
      </c>
      <c r="K59" s="9" t="str">
        <f aca="false">IF('VC Targets'!K12="","",'VC Targets'!K12)</f>
        <v/>
      </c>
      <c r="L59" s="10" t="str">
        <f aca="false">IF('VC Targets'!L12="","",'VC Targets'!L12)</f>
        <v/>
      </c>
    </row>
    <row r="60" customFormat="false" ht="15" hidden="false" customHeight="true" outlineLevel="0" collapsed="false">
      <c r="A60" s="8" t="s">
        <v>283</v>
      </c>
      <c r="B60" s="9" t="s">
        <v>249</v>
      </c>
      <c r="C60" s="9" t="s">
        <v>261</v>
      </c>
      <c r="D60" s="9" t="s">
        <v>21</v>
      </c>
      <c r="E60" s="9" t="s">
        <v>284</v>
      </c>
      <c r="F60" s="9" t="s">
        <v>285</v>
      </c>
      <c r="G60" s="9" t="s">
        <v>58</v>
      </c>
      <c r="H60" s="9" t="s">
        <v>37</v>
      </c>
      <c r="I60" s="9" t="str">
        <f aca="false">IF('VC Targets'!F13="","",'VC Targets'!F13)</f>
        <v/>
      </c>
      <c r="J60" s="9" t="str">
        <f aca="false">IF('VC Targets'!G13="","",'VC Targets'!G13)</f>
        <v/>
      </c>
      <c r="K60" s="9" t="str">
        <f aca="false">IF('VC Targets'!K13="","",'VC Targets'!K13)</f>
        <v/>
      </c>
      <c r="L60" s="10" t="str">
        <f aca="false">IF('VC Targets'!L13="","",'VC Targets'!L13)</f>
        <v/>
      </c>
    </row>
    <row r="61" customFormat="false" ht="23.25" hidden="false" customHeight="true" outlineLevel="0" collapsed="false">
      <c r="A61" s="8" t="s">
        <v>286</v>
      </c>
      <c r="B61" s="9" t="s">
        <v>249</v>
      </c>
      <c r="C61" s="9" t="s">
        <v>261</v>
      </c>
      <c r="D61" s="9" t="s">
        <v>21</v>
      </c>
      <c r="E61" s="9" t="s">
        <v>287</v>
      </c>
      <c r="F61" s="9" t="s">
        <v>288</v>
      </c>
      <c r="G61" s="9" t="s">
        <v>58</v>
      </c>
      <c r="H61" s="9" t="s">
        <v>289</v>
      </c>
      <c r="I61" s="9" t="str">
        <f aca="false">IF('VC Targets'!F14="","",'VC Targets'!F14)</f>
        <v/>
      </c>
      <c r="J61" s="9" t="str">
        <f aca="false">IF('VC Targets'!G14="","",'VC Targets'!G14)</f>
        <v/>
      </c>
      <c r="K61" s="9" t="str">
        <f aca="false">IF('VC Targets'!K14="","",'VC Targets'!K14)</f>
        <v/>
      </c>
      <c r="L61" s="10" t="str">
        <f aca="false">IF('VC Targets'!L14="","",'VC Targets'!L14)</f>
        <v/>
      </c>
    </row>
    <row r="62" customFormat="false" ht="15" hidden="false" customHeight="true" outlineLevel="0" collapsed="false">
      <c r="A62" s="8" t="s">
        <v>290</v>
      </c>
      <c r="B62" s="9" t="s">
        <v>249</v>
      </c>
      <c r="C62" s="9" t="s">
        <v>291</v>
      </c>
      <c r="D62" s="9" t="s">
        <v>292</v>
      </c>
      <c r="E62" s="9" t="s">
        <v>293</v>
      </c>
      <c r="F62" s="9" t="s">
        <v>294</v>
      </c>
      <c r="G62" s="9" t="s">
        <v>58</v>
      </c>
      <c r="H62" s="9" t="s">
        <v>295</v>
      </c>
      <c r="I62" s="9" t="str">
        <f aca="false">IF('VC Targets'!F15="","",'VC Targets'!F15)</f>
        <v/>
      </c>
      <c r="J62" s="9" t="str">
        <f aca="false">IF('VC Targets'!G15="","",'VC Targets'!G15)</f>
        <v/>
      </c>
      <c r="K62" s="9" t="str">
        <f aca="false">IF('VC Targets'!K15="","",'VC Targets'!K15)</f>
        <v/>
      </c>
      <c r="L62" s="10" t="str">
        <f aca="false">IF('VC Targets'!L15="","",'VC Targets'!L15)</f>
        <v/>
      </c>
    </row>
    <row r="63" customFormat="false" ht="15" hidden="false" customHeight="true" outlineLevel="0" collapsed="false">
      <c r="A63" s="8" t="s">
        <v>296</v>
      </c>
      <c r="B63" s="9" t="s">
        <v>249</v>
      </c>
      <c r="C63" s="9" t="s">
        <v>261</v>
      </c>
      <c r="D63" s="9" t="s">
        <v>21</v>
      </c>
      <c r="E63" s="9" t="s">
        <v>297</v>
      </c>
      <c r="F63" s="9" t="s">
        <v>298</v>
      </c>
      <c r="G63" s="9" t="s">
        <v>272</v>
      </c>
      <c r="H63" s="9" t="s">
        <v>37</v>
      </c>
      <c r="I63" s="9" t="str">
        <f aca="false">IF('VC Targets'!F16="","",'VC Targets'!F16)</f>
        <v/>
      </c>
      <c r="J63" s="9" t="str">
        <f aca="false">IF('VC Targets'!G16="","",'VC Targets'!G16)</f>
        <v/>
      </c>
      <c r="K63" s="9" t="str">
        <f aca="false">IF('VC Targets'!K16="","",'VC Targets'!K16)</f>
        <v/>
      </c>
      <c r="L63" s="10" t="str">
        <f aca="false">IF('VC Targets'!L16="","",'VC Targets'!L16)</f>
        <v/>
      </c>
    </row>
    <row r="64" customFormat="false" ht="15" hidden="false" customHeight="true" outlineLevel="0" collapsed="false">
      <c r="A64" s="8" t="s">
        <v>299</v>
      </c>
      <c r="B64" s="9" t="s">
        <v>249</v>
      </c>
      <c r="C64" s="9" t="s">
        <v>261</v>
      </c>
      <c r="D64" s="9" t="s">
        <v>300</v>
      </c>
      <c r="E64" s="9" t="s">
        <v>301</v>
      </c>
      <c r="F64" s="9" t="s">
        <v>302</v>
      </c>
      <c r="G64" s="9" t="s">
        <v>303</v>
      </c>
      <c r="H64" s="9" t="s">
        <v>304</v>
      </c>
      <c r="I64" s="9" t="str">
        <f aca="false">IF('VC Targets'!F17="","",'VC Targets'!F17)</f>
        <v/>
      </c>
      <c r="J64" s="9" t="str">
        <f aca="false">IF('VC Targets'!G17="","",'VC Targets'!G17)</f>
        <v/>
      </c>
      <c r="K64" s="9" t="str">
        <f aca="false">IF('VC Targets'!K17="","",'VC Targets'!K17)</f>
        <v/>
      </c>
      <c r="L64" s="10" t="str">
        <f aca="false">IF('VC Targets'!L17="","",'VC Targets'!L17)</f>
        <v/>
      </c>
    </row>
    <row r="65" customFormat="false" ht="15" hidden="false" customHeight="true" outlineLevel="0" collapsed="false">
      <c r="A65" s="8" t="s">
        <v>305</v>
      </c>
      <c r="B65" s="9" t="s">
        <v>249</v>
      </c>
      <c r="C65" s="9" t="s">
        <v>306</v>
      </c>
      <c r="D65" s="9" t="s">
        <v>307</v>
      </c>
      <c r="E65" s="9" t="s">
        <v>308</v>
      </c>
      <c r="F65" s="9" t="s">
        <v>309</v>
      </c>
      <c r="G65" s="9" t="s">
        <v>310</v>
      </c>
      <c r="H65" s="9" t="s">
        <v>311</v>
      </c>
      <c r="I65" s="9" t="str">
        <f aca="false">IF('VC Targets'!F18="","",'VC Targets'!F18)</f>
        <v/>
      </c>
      <c r="J65" s="9" t="str">
        <f aca="false">IF('VC Targets'!G18="","",'VC Targets'!G18)</f>
        <v/>
      </c>
      <c r="K65" s="9" t="str">
        <f aca="false">IF('VC Targets'!K18="","",'VC Targets'!K18)</f>
        <v/>
      </c>
      <c r="L65" s="10" t="str">
        <f aca="false">IF('VC Targets'!L18="","",'VC Targets'!L18)</f>
        <v/>
      </c>
    </row>
    <row r="66" customFormat="false" ht="15" hidden="false" customHeight="true" outlineLevel="0" collapsed="false">
      <c r="A66" s="8" t="s">
        <v>312</v>
      </c>
      <c r="B66" s="9" t="s">
        <v>249</v>
      </c>
      <c r="C66" s="9" t="s">
        <v>306</v>
      </c>
      <c r="D66" s="9" t="s">
        <v>307</v>
      </c>
      <c r="E66" s="9" t="s">
        <v>313</v>
      </c>
      <c r="F66" s="9" t="s">
        <v>314</v>
      </c>
      <c r="G66" s="9" t="s">
        <v>58</v>
      </c>
      <c r="H66" s="9" t="s">
        <v>315</v>
      </c>
      <c r="I66" s="9" t="str">
        <f aca="false">IF('VC Targets'!F19="","",'VC Targets'!F19)</f>
        <v/>
      </c>
      <c r="J66" s="9" t="str">
        <f aca="false">IF('VC Targets'!G19="","",'VC Targets'!G19)</f>
        <v/>
      </c>
      <c r="K66" s="9" t="str">
        <f aca="false">IF('VC Targets'!K19="","",'VC Targets'!K19)</f>
        <v/>
      </c>
      <c r="L66" s="10" t="str">
        <f aca="false">IF('VC Targets'!L19="","",'VC Targets'!L19)</f>
        <v/>
      </c>
    </row>
    <row r="67" customFormat="false" ht="15" hidden="false" customHeight="true" outlineLevel="0" collapsed="false">
      <c r="A67" s="8" t="s">
        <v>316</v>
      </c>
      <c r="B67" s="9" t="s">
        <v>249</v>
      </c>
      <c r="C67" s="9" t="s">
        <v>261</v>
      </c>
      <c r="D67" s="9" t="s">
        <v>152</v>
      </c>
      <c r="E67" s="9" t="s">
        <v>317</v>
      </c>
      <c r="F67" s="9" t="s">
        <v>318</v>
      </c>
      <c r="G67" s="9" t="s">
        <v>58</v>
      </c>
      <c r="H67" s="9" t="s">
        <v>37</v>
      </c>
      <c r="I67" s="9" t="str">
        <f aca="false">IF('VC Targets'!F20="","",'VC Targets'!F20)</f>
        <v/>
      </c>
      <c r="J67" s="9" t="str">
        <f aca="false">IF('VC Targets'!G20="","",'VC Targets'!G20)</f>
        <v/>
      </c>
      <c r="K67" s="9" t="str">
        <f aca="false">IF('VC Targets'!K20="","",'VC Targets'!K20)</f>
        <v/>
      </c>
      <c r="L67" s="10" t="str">
        <f aca="false">IF('VC Targets'!L20="","",'VC Targets'!L20)</f>
        <v/>
      </c>
    </row>
    <row r="68" customFormat="false" ht="15" hidden="false" customHeight="true" outlineLevel="0" collapsed="false">
      <c r="A68" s="8" t="s">
        <v>319</v>
      </c>
      <c r="B68" s="9" t="s">
        <v>249</v>
      </c>
      <c r="C68" s="9" t="s">
        <v>261</v>
      </c>
      <c r="D68" s="9" t="s">
        <v>21</v>
      </c>
      <c r="E68" s="9" t="s">
        <v>320</v>
      </c>
      <c r="F68" s="9" t="s">
        <v>321</v>
      </c>
      <c r="G68" s="9" t="s">
        <v>58</v>
      </c>
      <c r="H68" s="9" t="s">
        <v>322</v>
      </c>
      <c r="I68" s="9" t="str">
        <f aca="false">IF('VC Targets'!F21="","",'VC Targets'!F21)</f>
        <v/>
      </c>
      <c r="J68" s="9" t="str">
        <f aca="false">IF('VC Targets'!G21="","",'VC Targets'!G21)</f>
        <v/>
      </c>
      <c r="K68" s="9" t="str">
        <f aca="false">IF('VC Targets'!K21="","",'VC Targets'!K21)</f>
        <v/>
      </c>
      <c r="L68" s="10" t="str">
        <f aca="false">IF('VC Targets'!L21="","",'VC Targets'!L21)</f>
        <v/>
      </c>
    </row>
    <row r="69" customFormat="false" ht="15" hidden="false" customHeight="true" outlineLevel="0" collapsed="false">
      <c r="A69" s="8" t="s">
        <v>323</v>
      </c>
      <c r="B69" s="9" t="s">
        <v>249</v>
      </c>
      <c r="C69" s="9" t="s">
        <v>324</v>
      </c>
      <c r="D69" s="9" t="s">
        <v>163</v>
      </c>
      <c r="E69" s="9" t="s">
        <v>325</v>
      </c>
      <c r="F69" s="9" t="s">
        <v>326</v>
      </c>
      <c r="G69" s="9" t="s">
        <v>327</v>
      </c>
      <c r="H69" s="9" t="s">
        <v>328</v>
      </c>
      <c r="I69" s="9" t="str">
        <f aca="false">IF('VC Targets'!F22="","",'VC Targets'!F22)</f>
        <v/>
      </c>
      <c r="J69" s="9" t="str">
        <f aca="false">IF('VC Targets'!G22="","",'VC Targets'!G22)</f>
        <v/>
      </c>
      <c r="K69" s="9" t="str">
        <f aca="false">IF('VC Targets'!K22="","",'VC Targets'!K22)</f>
        <v/>
      </c>
      <c r="L69" s="10" t="str">
        <f aca="false">IF('VC Targets'!L22="","",'VC Targets'!L22)</f>
        <v/>
      </c>
    </row>
    <row r="70" customFormat="false" ht="15" hidden="false" customHeight="true" outlineLevel="0" collapsed="false">
      <c r="A70" s="8" t="s">
        <v>329</v>
      </c>
      <c r="B70" s="9" t="s">
        <v>249</v>
      </c>
      <c r="C70" s="9" t="s">
        <v>324</v>
      </c>
      <c r="D70" s="9" t="s">
        <v>163</v>
      </c>
      <c r="E70" s="9" t="s">
        <v>330</v>
      </c>
      <c r="F70" s="9" t="s">
        <v>331</v>
      </c>
      <c r="G70" s="9" t="s">
        <v>58</v>
      </c>
      <c r="H70" s="9" t="s">
        <v>37</v>
      </c>
      <c r="I70" s="9" t="str">
        <f aca="false">IF('VC Targets'!F23="","",'VC Targets'!F23)</f>
        <v/>
      </c>
      <c r="J70" s="9" t="str">
        <f aca="false">IF('VC Targets'!G23="","",'VC Targets'!G23)</f>
        <v/>
      </c>
      <c r="K70" s="9" t="str">
        <f aca="false">IF('VC Targets'!K23="","",'VC Targets'!K23)</f>
        <v/>
      </c>
      <c r="L70" s="10" t="str">
        <f aca="false">IF('VC Targets'!L23="","",'VC Targets'!L23)</f>
        <v/>
      </c>
    </row>
    <row r="71" customFormat="false" ht="15" hidden="false" customHeight="false" outlineLevel="0" collapsed="false">
      <c r="A71" s="8" t="s">
        <v>332</v>
      </c>
      <c r="B71" s="9" t="s">
        <v>249</v>
      </c>
      <c r="C71" s="9" t="s">
        <v>324</v>
      </c>
      <c r="D71" s="9" t="s">
        <v>80</v>
      </c>
      <c r="E71" s="9" t="s">
        <v>333</v>
      </c>
      <c r="F71" s="9" t="s">
        <v>334</v>
      </c>
      <c r="G71" s="9" t="s">
        <v>58</v>
      </c>
      <c r="H71" s="9" t="s">
        <v>335</v>
      </c>
      <c r="I71" s="9" t="str">
        <f aca="false">IF('VC Targets'!F24="","",'VC Targets'!F24)</f>
        <v/>
      </c>
      <c r="J71" s="9" t="str">
        <f aca="false">IF('VC Targets'!G24="","",'VC Targets'!G24)</f>
        <v/>
      </c>
      <c r="K71" s="9" t="str">
        <f aca="false">IF('VC Targets'!K24="","",'VC Targets'!K24)</f>
        <v/>
      </c>
      <c r="L71" s="10" t="str">
        <f aca="false">IF('VC Targets'!L24="","",'VC Targets'!L24)</f>
        <v/>
      </c>
    </row>
    <row r="72" customFormat="false" ht="51.75" hidden="false" customHeight="true" outlineLevel="0" collapsed="false">
      <c r="A72" s="8" t="s">
        <v>336</v>
      </c>
      <c r="B72" s="9" t="s">
        <v>249</v>
      </c>
      <c r="C72" s="9" t="s">
        <v>337</v>
      </c>
      <c r="D72" s="9" t="s">
        <v>338</v>
      </c>
      <c r="E72" s="9" t="s">
        <v>339</v>
      </c>
      <c r="F72" s="9" t="s">
        <v>340</v>
      </c>
      <c r="G72" s="9" t="s">
        <v>58</v>
      </c>
      <c r="H72" s="9" t="s">
        <v>341</v>
      </c>
      <c r="I72" s="9" t="str">
        <f aca="false">IF('VC Targets'!F25="","",'VC Targets'!F25)</f>
        <v/>
      </c>
      <c r="J72" s="9" t="str">
        <f aca="false">IF('VC Targets'!G25="","",'VC Targets'!G25)</f>
        <v/>
      </c>
      <c r="K72" s="9" t="str">
        <f aca="false">IF('VC Targets'!K25="","",'VC Targets'!K25)</f>
        <v/>
      </c>
      <c r="L72" s="10" t="str">
        <f aca="false">IF('VC Targets'!L25="","",'VC Targets'!L25)</f>
        <v/>
      </c>
    </row>
    <row r="73" customFormat="false" ht="15" hidden="false" customHeight="false" outlineLevel="0" collapsed="false">
      <c r="A73" s="8" t="s">
        <v>342</v>
      </c>
      <c r="B73" s="9" t="s">
        <v>249</v>
      </c>
      <c r="C73" s="9" t="s">
        <v>343</v>
      </c>
      <c r="D73" s="9" t="s">
        <v>152</v>
      </c>
      <c r="E73" s="9" t="s">
        <v>344</v>
      </c>
      <c r="F73" s="9" t="s">
        <v>345</v>
      </c>
      <c r="G73" s="9" t="s">
        <v>58</v>
      </c>
      <c r="H73" s="9" t="s">
        <v>346</v>
      </c>
      <c r="I73" s="9" t="str">
        <f aca="false">IF('VC Targets'!F26="","",'VC Targets'!F26)</f>
        <v/>
      </c>
      <c r="J73" s="9" t="str">
        <f aca="false">IF('VC Targets'!G26="","",'VC Targets'!G26)</f>
        <v/>
      </c>
      <c r="K73" s="9" t="str">
        <f aca="false">IF('VC Targets'!K26="","",'VC Targets'!K26)</f>
        <v/>
      </c>
      <c r="L73" s="10" t="str">
        <f aca="false">IF('VC Targets'!L26="","",'VC Targets'!L26)</f>
        <v/>
      </c>
    </row>
    <row r="74" customFormat="false" ht="15" hidden="false" customHeight="false" outlineLevel="0" collapsed="false">
      <c r="A74" s="8" t="s">
        <v>347</v>
      </c>
      <c r="B74" s="9" t="s">
        <v>249</v>
      </c>
      <c r="C74" s="9" t="s">
        <v>256</v>
      </c>
      <c r="D74" s="9" t="s">
        <v>21</v>
      </c>
      <c r="E74" s="9" t="s">
        <v>348</v>
      </c>
      <c r="F74" s="9" t="s">
        <v>349</v>
      </c>
      <c r="G74" s="9" t="s">
        <v>58</v>
      </c>
      <c r="H74" s="9" t="s">
        <v>350</v>
      </c>
      <c r="I74" s="9" t="str">
        <f aca="false">IF('VC Targets'!F27="","",'VC Targets'!F27)</f>
        <v/>
      </c>
      <c r="J74" s="9" t="str">
        <f aca="false">IF('VC Targets'!G27="","",'VC Targets'!G27)</f>
        <v/>
      </c>
      <c r="K74" s="9" t="str">
        <f aca="false">IF('VC Targets'!K27="","",'VC Targets'!K27)</f>
        <v/>
      </c>
      <c r="L74" s="10" t="str">
        <f aca="false">IF('VC Targets'!L27="","",'VC Targets'!L27)</f>
        <v/>
      </c>
    </row>
    <row r="75" customFormat="false" ht="15" hidden="false" customHeight="false" outlineLevel="0" collapsed="false">
      <c r="A75" s="8" t="s">
        <v>351</v>
      </c>
      <c r="B75" s="9" t="s">
        <v>249</v>
      </c>
      <c r="C75" s="9" t="s">
        <v>352</v>
      </c>
      <c r="D75" s="9" t="s">
        <v>353</v>
      </c>
      <c r="E75" s="9" t="s">
        <v>354</v>
      </c>
      <c r="F75" s="9" t="s">
        <v>355</v>
      </c>
      <c r="G75" s="9" t="s">
        <v>58</v>
      </c>
      <c r="H75" s="9" t="s">
        <v>356</v>
      </c>
      <c r="I75" s="9" t="str">
        <f aca="false">IF('VC Targets'!F28="","",'VC Targets'!F28)</f>
        <v/>
      </c>
      <c r="J75" s="9" t="str">
        <f aca="false">IF('VC Targets'!G28="","",'VC Targets'!G28)</f>
        <v/>
      </c>
      <c r="K75" s="9" t="str">
        <f aca="false">IF('VC Targets'!K28="","",'VC Targets'!K28)</f>
        <v/>
      </c>
      <c r="L75" s="10" t="str">
        <f aca="false">IF('VC Targets'!L28="","",'VC Targets'!L28)</f>
        <v/>
      </c>
    </row>
    <row r="76" customFormat="false" ht="15" hidden="false" customHeight="false" outlineLevel="0" collapsed="false">
      <c r="A76" s="8" t="s">
        <v>357</v>
      </c>
      <c r="B76" s="9" t="s">
        <v>249</v>
      </c>
      <c r="C76" s="9" t="s">
        <v>261</v>
      </c>
      <c r="D76" s="9" t="s">
        <v>21</v>
      </c>
      <c r="E76" s="9" t="s">
        <v>358</v>
      </c>
      <c r="F76" s="9" t="s">
        <v>359</v>
      </c>
      <c r="G76" s="9" t="s">
        <v>89</v>
      </c>
      <c r="H76" s="9" t="s">
        <v>360</v>
      </c>
      <c r="I76" s="9" t="str">
        <f aca="false">IF('VC Targets'!F29="","",'VC Targets'!F29)</f>
        <v/>
      </c>
      <c r="J76" s="9" t="str">
        <f aca="false">IF('VC Targets'!G29="","",'VC Targets'!G29)</f>
        <v/>
      </c>
      <c r="K76" s="9" t="str">
        <f aca="false">IF('VC Targets'!K29="","",'VC Targets'!K29)</f>
        <v/>
      </c>
      <c r="L76" s="10" t="str">
        <f aca="false">IF('VC Targets'!L29="","",'VC Targets'!L29)</f>
        <v/>
      </c>
    </row>
    <row r="77" customFormat="false" ht="15" hidden="false" customHeight="false" outlineLevel="0" collapsed="false">
      <c r="A77" s="8" t="s">
        <v>361</v>
      </c>
      <c r="B77" s="9" t="s">
        <v>249</v>
      </c>
      <c r="C77" s="9" t="s">
        <v>362</v>
      </c>
      <c r="D77" s="9" t="s">
        <v>363</v>
      </c>
      <c r="E77" s="9" t="s">
        <v>364</v>
      </c>
      <c r="F77" s="9" t="s">
        <v>365</v>
      </c>
      <c r="G77" s="9" t="s">
        <v>58</v>
      </c>
      <c r="H77" s="9" t="s">
        <v>366</v>
      </c>
      <c r="I77" s="9" t="str">
        <f aca="false">IF('VC Targets'!F30="","",'VC Targets'!F30)</f>
        <v/>
      </c>
      <c r="J77" s="9" t="str">
        <f aca="false">IF('VC Targets'!G30="","",'VC Targets'!G30)</f>
        <v/>
      </c>
      <c r="K77" s="9" t="str">
        <f aca="false">IF('VC Targets'!K30="","",'VC Targets'!K30)</f>
        <v/>
      </c>
      <c r="L77" s="10" t="str">
        <f aca="false">IF('VC Targets'!L30="","",'VC Targets'!L30)</f>
        <v/>
      </c>
    </row>
    <row r="78" customFormat="false" ht="15" hidden="false" customHeight="false" outlineLevel="0" collapsed="false">
      <c r="A78" s="8" t="s">
        <v>367</v>
      </c>
      <c r="B78" s="9" t="s">
        <v>249</v>
      </c>
      <c r="C78" s="9" t="s">
        <v>368</v>
      </c>
      <c r="D78" s="9" t="s">
        <v>369</v>
      </c>
      <c r="E78" s="9" t="s">
        <v>370</v>
      </c>
      <c r="F78" s="9" t="s">
        <v>371</v>
      </c>
      <c r="G78" s="9" t="s">
        <v>58</v>
      </c>
      <c r="H78" s="9" t="s">
        <v>372</v>
      </c>
      <c r="I78" s="9" t="str">
        <f aca="false">IF('VC Targets'!F31="","",'VC Targets'!F31)</f>
        <v/>
      </c>
      <c r="J78" s="9" t="str">
        <f aca="false">IF('VC Targets'!G31="","",'VC Targets'!G31)</f>
        <v/>
      </c>
      <c r="K78" s="9" t="str">
        <f aca="false">IF('VC Targets'!K31="","",'VC Targets'!K31)</f>
        <v/>
      </c>
      <c r="L78" s="10" t="str">
        <f aca="false">IF('VC Targets'!L31="","",'VC Targets'!L31)</f>
        <v/>
      </c>
    </row>
    <row r="79" customFormat="false" ht="15" hidden="false" customHeight="false" outlineLevel="0" collapsed="false">
      <c r="A79" s="8" t="s">
        <v>373</v>
      </c>
      <c r="B79" s="9" t="s">
        <v>249</v>
      </c>
      <c r="C79" s="9" t="s">
        <v>374</v>
      </c>
      <c r="D79" s="9" t="s">
        <v>375</v>
      </c>
      <c r="E79" s="9" t="s">
        <v>376</v>
      </c>
      <c r="F79" s="9" t="s">
        <v>377</v>
      </c>
      <c r="G79" s="9" t="s">
        <v>58</v>
      </c>
      <c r="H79" s="9" t="s">
        <v>378</v>
      </c>
      <c r="I79" s="9" t="str">
        <f aca="false">IF('VC Targets'!F32="","",'VC Targets'!F32)</f>
        <v/>
      </c>
      <c r="J79" s="9" t="str">
        <f aca="false">IF('VC Targets'!G32="","",'VC Targets'!G32)</f>
        <v/>
      </c>
      <c r="K79" s="9" t="str">
        <f aca="false">IF('VC Targets'!K32="","",'VC Targets'!K32)</f>
        <v/>
      </c>
      <c r="L79" s="10" t="str">
        <f aca="false">IF('VC Targets'!L32="","",'VC Targets'!L32)</f>
        <v/>
      </c>
    </row>
    <row r="81" customFormat="false" ht="51.75" hidden="false" customHeight="true" outlineLevel="0" collapsed="false">
      <c r="A81" s="11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27"/>
    <col collapsed="false" customWidth="true" hidden="false" outlineLevel="0" max="5" min="5" style="1" width="40"/>
    <col collapsed="false" customWidth="true" hidden="false" outlineLevel="0" max="6" min="6" style="1" width="10"/>
    <col collapsed="false" customWidth="true" hidden="false" outlineLevel="0" max="7" min="7" style="1" width="15"/>
    <col collapsed="false" customWidth="true" hidden="false" outlineLevel="0" max="8" min="8" style="1" width="24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26"/>
    <col collapsed="false" customWidth="true" hidden="false" outlineLevel="0" max="12" min="12" style="1" width="14"/>
    <col collapsed="false" customWidth="true" hidden="false" outlineLevel="0" max="13" min="13" style="1" width="30"/>
  </cols>
  <sheetData>
    <row r="1" customFormat="false" ht="24" hidden="false" customHeight="true" outlineLevel="0" collapsed="false">
      <c r="A1" s="12" t="s">
        <v>380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5.75" hidden="false" customHeight="true" outlineLevel="0" collapsed="false">
      <c r="A2" s="13" t="s">
        <v>381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3.5" hidden="false" customHeight="true" outlineLevel="0" collapsed="false">
      <c r="A3" s="14" t="s">
        <v>382</v>
      </c>
      <c r="B3" s="14"/>
      <c r="C3" s="14"/>
      <c r="D3" s="14"/>
      <c r="E3" s="14"/>
      <c r="H3" s="15" t="s">
        <v>3</v>
      </c>
      <c r="I3" s="16" t="n">
        <f aca="false">COUNTA($A$7:$A$29)</f>
        <v>23</v>
      </c>
      <c r="J3" s="15" t="s">
        <v>4</v>
      </c>
      <c r="K3" s="16" t="n">
        <f aca="false">COUNTIF($F$7:$F$29,"High")</f>
        <v>0</v>
      </c>
      <c r="L3" s="15" t="s">
        <v>5</v>
      </c>
      <c r="M3" s="16" t="n">
        <f aca="false">COUNTA($G$7:$G$29)-COUNTIF($G$7:$G$29,"Not started")-COUNTIF($G$7:$G$29,"Pass")</f>
        <v>0</v>
      </c>
    </row>
    <row r="4" customFormat="false" ht="6" hidden="false" customHeight="true" outlineLevel="0" collapsed="false"/>
    <row r="5" customFormat="false" ht="27.75" hidden="false" customHeight="true" outlineLevel="0" collapsed="false">
      <c r="A5" s="17" t="s">
        <v>383</v>
      </c>
      <c r="B5" s="17" t="s">
        <v>384</v>
      </c>
      <c r="C5" s="17" t="s">
        <v>385</v>
      </c>
      <c r="D5" s="17" t="s">
        <v>386</v>
      </c>
      <c r="E5" s="17" t="s">
        <v>11</v>
      </c>
      <c r="F5" s="17" t="s">
        <v>14</v>
      </c>
      <c r="G5" s="17" t="s">
        <v>15</v>
      </c>
      <c r="H5" s="17" t="s">
        <v>387</v>
      </c>
      <c r="I5" s="17" t="s">
        <v>388</v>
      </c>
      <c r="J5" s="17" t="s">
        <v>389</v>
      </c>
      <c r="K5" s="17" t="s">
        <v>16</v>
      </c>
      <c r="L5" s="17" t="s">
        <v>17</v>
      </c>
      <c r="M5" s="17" t="s">
        <v>390</v>
      </c>
    </row>
    <row r="6" customFormat="false" ht="25.5" hidden="false" customHeight="true" outlineLevel="0" collapsed="false">
      <c r="A6" s="18" t="s">
        <v>391</v>
      </c>
      <c r="B6" s="19" t="s">
        <v>20</v>
      </c>
      <c r="C6" s="18" t="s">
        <v>392</v>
      </c>
      <c r="D6" s="18" t="s">
        <v>393</v>
      </c>
      <c r="E6" s="18" t="s">
        <v>36</v>
      </c>
      <c r="F6" s="20" t="s">
        <v>394</v>
      </c>
      <c r="G6" s="21" t="s">
        <v>395</v>
      </c>
      <c r="H6" s="21" t="s">
        <v>396</v>
      </c>
      <c r="I6" s="21" t="s">
        <v>397</v>
      </c>
      <c r="J6" s="22" t="n">
        <v>46280</v>
      </c>
      <c r="K6" s="21" t="s">
        <v>398</v>
      </c>
      <c r="L6" s="22" t="n">
        <v>46287</v>
      </c>
      <c r="M6" s="21" t="s">
        <v>399</v>
      </c>
    </row>
    <row r="7" customFormat="false" ht="39.75" hidden="false" customHeight="true" outlineLevel="0" collapsed="false">
      <c r="A7" s="23" t="s">
        <v>18</v>
      </c>
      <c r="B7" s="24" t="s">
        <v>20</v>
      </c>
      <c r="C7" s="25" t="s">
        <v>400</v>
      </c>
      <c r="D7" s="25" t="s">
        <v>401</v>
      </c>
      <c r="E7" s="25" t="s">
        <v>402</v>
      </c>
      <c r="F7" s="26"/>
      <c r="G7" s="27"/>
      <c r="H7" s="27"/>
      <c r="I7" s="27"/>
      <c r="J7" s="28"/>
      <c r="K7" s="27"/>
      <c r="L7" s="28"/>
      <c r="M7" s="27"/>
    </row>
    <row r="8" customFormat="false" ht="39.75" hidden="false" customHeight="true" outlineLevel="0" collapsed="false">
      <c r="A8" s="23" t="s">
        <v>26</v>
      </c>
      <c r="B8" s="24" t="s">
        <v>20</v>
      </c>
      <c r="C8" s="25" t="s">
        <v>403</v>
      </c>
      <c r="D8" s="25" t="s">
        <v>401</v>
      </c>
      <c r="E8" s="25" t="s">
        <v>404</v>
      </c>
      <c r="F8" s="26"/>
      <c r="G8" s="27"/>
      <c r="H8" s="27"/>
      <c r="I8" s="27"/>
      <c r="J8" s="28"/>
      <c r="K8" s="27"/>
      <c r="L8" s="28"/>
      <c r="M8" s="27"/>
    </row>
    <row r="9" customFormat="false" ht="39.75" hidden="false" customHeight="true" outlineLevel="0" collapsed="false">
      <c r="A9" s="23" t="s">
        <v>30</v>
      </c>
      <c r="B9" s="24" t="s">
        <v>20</v>
      </c>
      <c r="C9" s="25" t="s">
        <v>31</v>
      </c>
      <c r="D9" s="25" t="s">
        <v>401</v>
      </c>
      <c r="E9" s="25" t="s">
        <v>32</v>
      </c>
      <c r="F9" s="26"/>
      <c r="G9" s="27"/>
      <c r="H9" s="27"/>
      <c r="I9" s="27"/>
      <c r="J9" s="28"/>
      <c r="K9" s="27"/>
      <c r="L9" s="28"/>
      <c r="M9" s="27"/>
    </row>
    <row r="10" customFormat="false" ht="39.75" hidden="false" customHeight="true" outlineLevel="0" collapsed="false">
      <c r="A10" s="23" t="s">
        <v>34</v>
      </c>
      <c r="B10" s="24" t="s">
        <v>20</v>
      </c>
      <c r="C10" s="25" t="s">
        <v>405</v>
      </c>
      <c r="D10" s="25" t="s">
        <v>401</v>
      </c>
      <c r="E10" s="25" t="s">
        <v>406</v>
      </c>
      <c r="F10" s="26"/>
      <c r="G10" s="27"/>
      <c r="H10" s="27"/>
      <c r="I10" s="27"/>
      <c r="J10" s="28"/>
      <c r="K10" s="27"/>
      <c r="L10" s="28"/>
      <c r="M10" s="27"/>
    </row>
    <row r="11" customFormat="false" ht="39.75" hidden="false" customHeight="true" outlineLevel="0" collapsed="false">
      <c r="A11" s="23" t="s">
        <v>38</v>
      </c>
      <c r="B11" s="24" t="s">
        <v>20</v>
      </c>
      <c r="C11" s="25" t="s">
        <v>407</v>
      </c>
      <c r="D11" s="25" t="s">
        <v>401</v>
      </c>
      <c r="E11" s="25" t="s">
        <v>36</v>
      </c>
      <c r="F11" s="26"/>
      <c r="G11" s="27"/>
      <c r="H11" s="27"/>
      <c r="I11" s="27"/>
      <c r="J11" s="28"/>
      <c r="K11" s="27"/>
      <c r="L11" s="28"/>
      <c r="M11" s="27"/>
    </row>
    <row r="12" customFormat="false" ht="39.75" hidden="false" customHeight="true" outlineLevel="0" collapsed="false">
      <c r="A12" s="23" t="s">
        <v>41</v>
      </c>
      <c r="B12" s="24" t="s">
        <v>20</v>
      </c>
      <c r="C12" s="25" t="s">
        <v>42</v>
      </c>
      <c r="D12" s="25" t="s">
        <v>401</v>
      </c>
      <c r="E12" s="25" t="s">
        <v>36</v>
      </c>
      <c r="F12" s="26"/>
      <c r="G12" s="27"/>
      <c r="H12" s="27"/>
      <c r="I12" s="27"/>
      <c r="J12" s="28"/>
      <c r="K12" s="27"/>
      <c r="L12" s="28"/>
      <c r="M12" s="27"/>
    </row>
    <row r="13" customFormat="false" ht="39.75" hidden="false" customHeight="true" outlineLevel="0" collapsed="false">
      <c r="A13" s="23" t="s">
        <v>43</v>
      </c>
      <c r="B13" s="24" t="s">
        <v>20</v>
      </c>
      <c r="C13" s="25" t="s">
        <v>408</v>
      </c>
      <c r="D13" s="25" t="s">
        <v>401</v>
      </c>
      <c r="E13" s="25" t="s">
        <v>46</v>
      </c>
      <c r="F13" s="26"/>
      <c r="G13" s="27"/>
      <c r="H13" s="27"/>
      <c r="I13" s="27"/>
      <c r="J13" s="28"/>
      <c r="K13" s="27"/>
      <c r="L13" s="28"/>
      <c r="M13" s="27"/>
    </row>
    <row r="14" customFormat="false" ht="39.75" hidden="false" customHeight="true" outlineLevel="0" collapsed="false">
      <c r="A14" s="23" t="s">
        <v>47</v>
      </c>
      <c r="B14" s="24" t="s">
        <v>20</v>
      </c>
      <c r="C14" s="25" t="s">
        <v>409</v>
      </c>
      <c r="D14" s="25" t="s">
        <v>401</v>
      </c>
      <c r="E14" s="25" t="s">
        <v>36</v>
      </c>
      <c r="F14" s="26"/>
      <c r="G14" s="27"/>
      <c r="H14" s="27"/>
      <c r="I14" s="27"/>
      <c r="J14" s="28"/>
      <c r="K14" s="27"/>
      <c r="L14" s="28"/>
      <c r="M14" s="27"/>
    </row>
    <row r="15" customFormat="false" ht="39.75" hidden="false" customHeight="true" outlineLevel="0" collapsed="false">
      <c r="A15" s="23" t="s">
        <v>50</v>
      </c>
      <c r="B15" s="24" t="s">
        <v>20</v>
      </c>
      <c r="C15" s="25" t="s">
        <v>410</v>
      </c>
      <c r="D15" s="25" t="s">
        <v>401</v>
      </c>
      <c r="E15" s="25" t="s">
        <v>52</v>
      </c>
      <c r="F15" s="26"/>
      <c r="G15" s="27"/>
      <c r="H15" s="27"/>
      <c r="I15" s="27"/>
      <c r="J15" s="28"/>
      <c r="K15" s="27"/>
      <c r="L15" s="28"/>
      <c r="M15" s="27"/>
    </row>
    <row r="16" customFormat="false" ht="39.75" hidden="false" customHeight="true" outlineLevel="0" collapsed="false">
      <c r="A16" s="29" t="s">
        <v>54</v>
      </c>
      <c r="B16" s="30" t="s">
        <v>55</v>
      </c>
      <c r="C16" s="31" t="s">
        <v>411</v>
      </c>
      <c r="D16" s="31" t="s">
        <v>412</v>
      </c>
      <c r="E16" s="31" t="s">
        <v>57</v>
      </c>
      <c r="F16" s="26"/>
      <c r="G16" s="27"/>
      <c r="H16" s="27"/>
      <c r="I16" s="27"/>
      <c r="J16" s="28"/>
      <c r="K16" s="27"/>
      <c r="L16" s="28"/>
      <c r="M16" s="27"/>
    </row>
    <row r="17" customFormat="false" ht="39.75" hidden="false" customHeight="true" outlineLevel="0" collapsed="false">
      <c r="A17" s="29" t="s">
        <v>60</v>
      </c>
      <c r="B17" s="30" t="s">
        <v>55</v>
      </c>
      <c r="C17" s="31" t="s">
        <v>413</v>
      </c>
      <c r="D17" s="31" t="s">
        <v>414</v>
      </c>
      <c r="E17" s="31" t="s">
        <v>415</v>
      </c>
      <c r="F17" s="26"/>
      <c r="G17" s="27"/>
      <c r="H17" s="27"/>
      <c r="I17" s="27"/>
      <c r="J17" s="28"/>
      <c r="K17" s="27"/>
      <c r="L17" s="28"/>
      <c r="M17" s="27"/>
    </row>
    <row r="18" customFormat="false" ht="39.75" hidden="false" customHeight="true" outlineLevel="0" collapsed="false">
      <c r="A18" s="29" t="s">
        <v>66</v>
      </c>
      <c r="B18" s="30" t="s">
        <v>55</v>
      </c>
      <c r="C18" s="31" t="s">
        <v>416</v>
      </c>
      <c r="D18" s="31" t="s">
        <v>417</v>
      </c>
      <c r="E18" s="31" t="s">
        <v>68</v>
      </c>
      <c r="F18" s="26"/>
      <c r="G18" s="27"/>
      <c r="H18" s="27"/>
      <c r="I18" s="27"/>
      <c r="J18" s="28"/>
      <c r="K18" s="27"/>
      <c r="L18" s="28"/>
      <c r="M18" s="27"/>
    </row>
    <row r="19" customFormat="false" ht="39.75" hidden="false" customHeight="true" outlineLevel="0" collapsed="false">
      <c r="A19" s="29" t="s">
        <v>70</v>
      </c>
      <c r="B19" s="30" t="s">
        <v>55</v>
      </c>
      <c r="C19" s="31" t="s">
        <v>418</v>
      </c>
      <c r="D19" s="31" t="s">
        <v>419</v>
      </c>
      <c r="E19" s="31" t="s">
        <v>420</v>
      </c>
      <c r="F19" s="26"/>
      <c r="G19" s="27"/>
      <c r="H19" s="27"/>
      <c r="I19" s="27"/>
      <c r="J19" s="28"/>
      <c r="K19" s="27"/>
      <c r="L19" s="28"/>
      <c r="M19" s="27"/>
    </row>
    <row r="20" customFormat="false" ht="39.75" hidden="false" customHeight="true" outlineLevel="0" collapsed="false">
      <c r="A20" s="32" t="s">
        <v>73</v>
      </c>
      <c r="B20" s="33" t="s">
        <v>74</v>
      </c>
      <c r="C20" s="34" t="s">
        <v>421</v>
      </c>
      <c r="D20" s="34" t="s">
        <v>422</v>
      </c>
      <c r="E20" s="34" t="s">
        <v>423</v>
      </c>
      <c r="F20" s="26"/>
      <c r="G20" s="27"/>
      <c r="H20" s="27"/>
      <c r="I20" s="27"/>
      <c r="J20" s="28"/>
      <c r="K20" s="27"/>
      <c r="L20" s="28"/>
      <c r="M20" s="27"/>
    </row>
    <row r="21" customFormat="false" ht="39.75" hidden="false" customHeight="true" outlineLevel="0" collapsed="false">
      <c r="A21" s="32" t="s">
        <v>79</v>
      </c>
      <c r="B21" s="33" t="s">
        <v>74</v>
      </c>
      <c r="C21" s="34" t="s">
        <v>424</v>
      </c>
      <c r="D21" s="34" t="s">
        <v>425</v>
      </c>
      <c r="E21" s="34" t="s">
        <v>426</v>
      </c>
      <c r="F21" s="26"/>
      <c r="G21" s="27"/>
      <c r="H21" s="27"/>
      <c r="I21" s="27"/>
      <c r="J21" s="28"/>
      <c r="K21" s="27"/>
      <c r="L21" s="28"/>
      <c r="M21" s="27"/>
    </row>
    <row r="22" customFormat="false" ht="39.75" hidden="false" customHeight="true" outlineLevel="0" collapsed="false">
      <c r="A22" s="32" t="s">
        <v>85</v>
      </c>
      <c r="B22" s="33" t="s">
        <v>74</v>
      </c>
      <c r="C22" s="34" t="s">
        <v>427</v>
      </c>
      <c r="D22" s="34" t="s">
        <v>428</v>
      </c>
      <c r="E22" s="34" t="s">
        <v>429</v>
      </c>
      <c r="F22" s="26"/>
      <c r="G22" s="27"/>
      <c r="H22" s="27"/>
      <c r="I22" s="27"/>
      <c r="J22" s="28"/>
      <c r="K22" s="27"/>
      <c r="L22" s="28"/>
      <c r="M22" s="27"/>
    </row>
    <row r="23" customFormat="false" ht="39.75" hidden="false" customHeight="true" outlineLevel="0" collapsed="false">
      <c r="A23" s="32" t="s">
        <v>91</v>
      </c>
      <c r="B23" s="33" t="s">
        <v>74</v>
      </c>
      <c r="C23" s="34" t="s">
        <v>430</v>
      </c>
      <c r="D23" s="34" t="s">
        <v>431</v>
      </c>
      <c r="E23" s="34" t="s">
        <v>93</v>
      </c>
      <c r="F23" s="26"/>
      <c r="G23" s="27"/>
      <c r="H23" s="27"/>
      <c r="I23" s="27"/>
      <c r="J23" s="28"/>
      <c r="K23" s="27"/>
      <c r="L23" s="28"/>
      <c r="M23" s="27"/>
    </row>
    <row r="24" customFormat="false" ht="39.75" hidden="false" customHeight="true" outlineLevel="0" collapsed="false">
      <c r="A24" s="32" t="s">
        <v>95</v>
      </c>
      <c r="B24" s="33" t="s">
        <v>74</v>
      </c>
      <c r="C24" s="34" t="s">
        <v>96</v>
      </c>
      <c r="D24" s="34" t="s">
        <v>432</v>
      </c>
      <c r="E24" s="34" t="s">
        <v>97</v>
      </c>
      <c r="F24" s="26"/>
      <c r="G24" s="27"/>
      <c r="H24" s="27"/>
      <c r="I24" s="27"/>
      <c r="J24" s="28"/>
      <c r="K24" s="27"/>
      <c r="L24" s="28"/>
      <c r="M24" s="27"/>
    </row>
    <row r="25" customFormat="false" ht="39.75" hidden="false" customHeight="true" outlineLevel="0" collapsed="false">
      <c r="A25" s="32" t="s">
        <v>99</v>
      </c>
      <c r="B25" s="33" t="s">
        <v>74</v>
      </c>
      <c r="C25" s="34" t="s">
        <v>433</v>
      </c>
      <c r="D25" s="34" t="s">
        <v>434</v>
      </c>
      <c r="E25" s="34" t="s">
        <v>102</v>
      </c>
      <c r="F25" s="26"/>
      <c r="G25" s="27"/>
      <c r="H25" s="27"/>
      <c r="I25" s="27"/>
      <c r="J25" s="28"/>
      <c r="K25" s="27"/>
      <c r="L25" s="28"/>
      <c r="M25" s="27"/>
    </row>
    <row r="26" customFormat="false" ht="39.75" hidden="false" customHeight="true" outlineLevel="0" collapsed="false">
      <c r="A26" s="32" t="s">
        <v>103</v>
      </c>
      <c r="B26" s="33" t="s">
        <v>74</v>
      </c>
      <c r="C26" s="34" t="s">
        <v>435</v>
      </c>
      <c r="D26" s="34" t="s">
        <v>436</v>
      </c>
      <c r="E26" s="34" t="s">
        <v>102</v>
      </c>
      <c r="F26" s="26"/>
      <c r="G26" s="27"/>
      <c r="H26" s="27"/>
      <c r="I26" s="27"/>
      <c r="J26" s="28"/>
      <c r="K26" s="27"/>
      <c r="L26" s="28"/>
      <c r="M26" s="27"/>
    </row>
    <row r="27" customFormat="false" ht="39.75" hidden="false" customHeight="true" outlineLevel="0" collapsed="false">
      <c r="A27" s="32" t="s">
        <v>105</v>
      </c>
      <c r="B27" s="33" t="s">
        <v>74</v>
      </c>
      <c r="C27" s="34" t="s">
        <v>437</v>
      </c>
      <c r="D27" s="34" t="s">
        <v>436</v>
      </c>
      <c r="E27" s="34" t="s">
        <v>102</v>
      </c>
      <c r="F27" s="26"/>
      <c r="G27" s="27"/>
      <c r="H27" s="27"/>
      <c r="I27" s="27"/>
      <c r="J27" s="28"/>
      <c r="K27" s="27"/>
      <c r="L27" s="28"/>
      <c r="M27" s="27"/>
    </row>
    <row r="28" customFormat="false" ht="39.75" hidden="false" customHeight="true" outlineLevel="0" collapsed="false">
      <c r="A28" s="32" t="s">
        <v>108</v>
      </c>
      <c r="B28" s="33" t="s">
        <v>74</v>
      </c>
      <c r="C28" s="34" t="s">
        <v>110</v>
      </c>
      <c r="D28" s="34" t="s">
        <v>438</v>
      </c>
      <c r="E28" s="34" t="s">
        <v>439</v>
      </c>
      <c r="F28" s="26"/>
      <c r="G28" s="27"/>
      <c r="H28" s="27"/>
      <c r="I28" s="27"/>
      <c r="J28" s="28"/>
      <c r="K28" s="27"/>
      <c r="L28" s="28"/>
      <c r="M28" s="27"/>
    </row>
    <row r="29" customFormat="false" ht="39.75" hidden="false" customHeight="true" outlineLevel="0" collapsed="false">
      <c r="A29" s="32" t="s">
        <v>113</v>
      </c>
      <c r="B29" s="33" t="s">
        <v>74</v>
      </c>
      <c r="C29" s="34" t="s">
        <v>440</v>
      </c>
      <c r="D29" s="34" t="s">
        <v>428</v>
      </c>
      <c r="E29" s="34" t="s">
        <v>88</v>
      </c>
      <c r="F29" s="26"/>
      <c r="G29" s="27"/>
      <c r="H29" s="27"/>
      <c r="I29" s="27"/>
      <c r="J29" s="28"/>
      <c r="K29" s="27"/>
      <c r="L29" s="28"/>
      <c r="M29" s="27"/>
    </row>
    <row r="31" customFormat="false" ht="25.5" hidden="false" customHeight="true" outlineLevel="0" collapsed="false">
      <c r="A31" s="35" t="s">
        <v>441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</sheetData>
  <autoFilter ref="A5:M29"/>
  <mergeCells count="4">
    <mergeCell ref="A1:M1"/>
    <mergeCell ref="A2:M2"/>
    <mergeCell ref="A3:E3"/>
    <mergeCell ref="A31:M31"/>
  </mergeCells>
  <conditionalFormatting sqref="G6:G29">
    <cfRule type="cellIs" priority="2" operator="equal" aboveAverage="0" equalAverage="0" bottom="0" percent="0" rank="0" text="" dxfId="7">
      <formula>"Offer"</formula>
    </cfRule>
    <cfRule type="cellIs" priority="3" operator="equal" aboveAverage="0" equalAverage="0" bottom="0" percent="0" rank="0" text="" dxfId="8">
      <formula>"Interviewing"</formula>
    </cfRule>
    <cfRule type="cellIs" priority="4" operator="equal" aboveAverage="0" equalAverage="0" bottom="0" percent="0" rank="0" text="" dxfId="9">
      <formula>"Follow-up due"</formula>
    </cfRule>
    <cfRule type="cellIs" priority="5" operator="equal" aboveAverage="0" equalAverage="0" bottom="0" percent="0" rank="0" text="" dxfId="10">
      <formula>"Pass"</formula>
    </cfRule>
  </conditionalFormatting>
  <dataValidations count="2">
    <dataValidation allowBlank="true" errorStyle="stop" operator="between" showDropDown="false" showErrorMessage="false" showInputMessage="false" sqref="F6:F29" type="list">
      <formula1>"High,Medium,Low"</formula1>
      <formula2>0</formula2>
    </dataValidation>
    <dataValidation allowBlank="true" errorStyle="stop" operator="between" showDropDown="false" showErrorMessage="false" showInputMessage="false" sqref="G6:G29" type="list">
      <formula1>"Not started,Researching,Outreach sent,Chat scheduled,Chat done,Follow-up due,Interviewing,Closed list,Offer,Pass"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27"/>
    <col collapsed="false" customWidth="true" hidden="false" outlineLevel="0" max="5" min="5" style="1" width="40"/>
    <col collapsed="false" customWidth="true" hidden="false" outlineLevel="0" max="6" min="6" style="1" width="10"/>
    <col collapsed="false" customWidth="true" hidden="false" outlineLevel="0" max="7" min="7" style="1" width="15"/>
    <col collapsed="false" customWidth="true" hidden="false" outlineLevel="0" max="8" min="8" style="1" width="24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26"/>
    <col collapsed="false" customWidth="true" hidden="false" outlineLevel="0" max="12" min="12" style="1" width="14"/>
    <col collapsed="false" customWidth="true" hidden="false" outlineLevel="0" max="13" min="13" style="1" width="30"/>
  </cols>
  <sheetData>
    <row r="1" customFormat="false" ht="24" hidden="false" customHeight="true" outlineLevel="0" collapsed="false">
      <c r="A1" s="12" t="s">
        <v>442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5.75" hidden="false" customHeight="true" outlineLevel="0" collapsed="false">
      <c r="A2" s="13" t="s">
        <v>443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3.5" hidden="false" customHeight="true" outlineLevel="0" collapsed="false">
      <c r="A3" s="14" t="s">
        <v>444</v>
      </c>
      <c r="B3" s="14"/>
      <c r="C3" s="14"/>
      <c r="D3" s="14"/>
      <c r="E3" s="14"/>
      <c r="H3" s="15" t="s">
        <v>3</v>
      </c>
      <c r="I3" s="16" t="n">
        <f aca="false">COUNTA($A$6:$A$29)</f>
        <v>24</v>
      </c>
      <c r="J3" s="15" t="s">
        <v>4</v>
      </c>
      <c r="K3" s="16" t="n">
        <f aca="false">COUNTIF($F$6:$F$29,"High")</f>
        <v>0</v>
      </c>
      <c r="L3" s="15" t="s">
        <v>5</v>
      </c>
      <c r="M3" s="16" t="n">
        <f aca="false">COUNTA($G$6:$G$29)-COUNTIF($G$6:$G$29,"Not started")-COUNTIF($G$6:$G$29,"Pass")</f>
        <v>0</v>
      </c>
    </row>
    <row r="4" customFormat="false" ht="6" hidden="false" customHeight="true" outlineLevel="0" collapsed="false"/>
    <row r="5" customFormat="false" ht="27.75" hidden="false" customHeight="true" outlineLevel="0" collapsed="false">
      <c r="A5" s="17" t="s">
        <v>383</v>
      </c>
      <c r="B5" s="17" t="s">
        <v>445</v>
      </c>
      <c r="C5" s="17" t="s">
        <v>385</v>
      </c>
      <c r="D5" s="17" t="s">
        <v>386</v>
      </c>
      <c r="E5" s="17" t="s">
        <v>11</v>
      </c>
      <c r="F5" s="17" t="s">
        <v>14</v>
      </c>
      <c r="G5" s="17" t="s">
        <v>15</v>
      </c>
      <c r="H5" s="17" t="s">
        <v>387</v>
      </c>
      <c r="I5" s="17" t="s">
        <v>388</v>
      </c>
      <c r="J5" s="17" t="s">
        <v>389</v>
      </c>
      <c r="K5" s="17" t="s">
        <v>16</v>
      </c>
      <c r="L5" s="17" t="s">
        <v>17</v>
      </c>
      <c r="M5" s="17" t="s">
        <v>390</v>
      </c>
    </row>
    <row r="6" customFormat="false" ht="39.75" hidden="false" customHeight="true" outlineLevel="0" collapsed="false">
      <c r="A6" s="36" t="s">
        <v>117</v>
      </c>
      <c r="B6" s="37" t="s">
        <v>119</v>
      </c>
      <c r="C6" s="38" t="s">
        <v>446</v>
      </c>
      <c r="D6" s="38" t="s">
        <v>447</v>
      </c>
      <c r="E6" s="38" t="s">
        <v>122</v>
      </c>
      <c r="F6" s="26"/>
      <c r="G6" s="27"/>
      <c r="H6" s="27"/>
      <c r="I6" s="27"/>
      <c r="J6" s="28"/>
      <c r="K6" s="27"/>
      <c r="L6" s="28"/>
      <c r="M6" s="27"/>
    </row>
    <row r="7" customFormat="false" ht="39.75" hidden="false" customHeight="true" outlineLevel="0" collapsed="false">
      <c r="A7" s="36" t="s">
        <v>125</v>
      </c>
      <c r="B7" s="37" t="s">
        <v>119</v>
      </c>
      <c r="C7" s="38" t="s">
        <v>448</v>
      </c>
      <c r="D7" s="38" t="s">
        <v>449</v>
      </c>
      <c r="E7" s="38" t="s">
        <v>450</v>
      </c>
      <c r="F7" s="26"/>
      <c r="G7" s="27"/>
      <c r="H7" s="27"/>
      <c r="I7" s="27"/>
      <c r="J7" s="28"/>
      <c r="K7" s="27"/>
      <c r="L7" s="28"/>
      <c r="M7" s="27"/>
    </row>
    <row r="8" customFormat="false" ht="39.75" hidden="false" customHeight="true" outlineLevel="0" collapsed="false">
      <c r="A8" s="36" t="s">
        <v>131</v>
      </c>
      <c r="B8" s="37" t="s">
        <v>132</v>
      </c>
      <c r="C8" s="38" t="s">
        <v>134</v>
      </c>
      <c r="D8" s="38" t="s">
        <v>451</v>
      </c>
      <c r="E8" s="38" t="s">
        <v>452</v>
      </c>
      <c r="F8" s="26"/>
      <c r="G8" s="27"/>
      <c r="H8" s="27"/>
      <c r="I8" s="27"/>
      <c r="J8" s="28"/>
      <c r="K8" s="27"/>
      <c r="L8" s="28"/>
      <c r="M8" s="27"/>
    </row>
    <row r="9" customFormat="false" ht="39.75" hidden="false" customHeight="true" outlineLevel="0" collapsed="false">
      <c r="A9" s="36" t="s">
        <v>138</v>
      </c>
      <c r="B9" s="37" t="s">
        <v>139</v>
      </c>
      <c r="C9" s="38" t="s">
        <v>453</v>
      </c>
      <c r="D9" s="38" t="s">
        <v>454</v>
      </c>
      <c r="E9" s="38" t="s">
        <v>142</v>
      </c>
      <c r="F9" s="26"/>
      <c r="G9" s="27"/>
      <c r="H9" s="27"/>
      <c r="I9" s="27"/>
      <c r="J9" s="28"/>
      <c r="K9" s="27"/>
      <c r="L9" s="28"/>
      <c r="M9" s="27"/>
    </row>
    <row r="10" customFormat="false" ht="39.75" hidden="false" customHeight="true" outlineLevel="0" collapsed="false">
      <c r="A10" s="36" t="s">
        <v>144</v>
      </c>
      <c r="B10" s="37" t="s">
        <v>145</v>
      </c>
      <c r="C10" s="38" t="s">
        <v>147</v>
      </c>
      <c r="D10" s="38" t="s">
        <v>148</v>
      </c>
      <c r="E10" s="38" t="s">
        <v>149</v>
      </c>
      <c r="F10" s="26"/>
      <c r="G10" s="27"/>
      <c r="H10" s="27"/>
      <c r="I10" s="27"/>
      <c r="J10" s="28"/>
      <c r="K10" s="27"/>
      <c r="L10" s="28"/>
      <c r="M10" s="27"/>
    </row>
    <row r="11" customFormat="false" ht="39.75" hidden="false" customHeight="true" outlineLevel="0" collapsed="false">
      <c r="A11" s="36" t="s">
        <v>150</v>
      </c>
      <c r="B11" s="37" t="s">
        <v>151</v>
      </c>
      <c r="C11" s="38" t="s">
        <v>455</v>
      </c>
      <c r="D11" s="38" t="s">
        <v>456</v>
      </c>
      <c r="E11" s="38" t="s">
        <v>154</v>
      </c>
      <c r="F11" s="26"/>
      <c r="G11" s="27"/>
      <c r="H11" s="27"/>
      <c r="I11" s="27"/>
      <c r="J11" s="28"/>
      <c r="K11" s="27"/>
      <c r="L11" s="28"/>
      <c r="M11" s="27"/>
    </row>
    <row r="12" customFormat="false" ht="39.75" hidden="false" customHeight="true" outlineLevel="0" collapsed="false">
      <c r="A12" s="36" t="s">
        <v>155</v>
      </c>
      <c r="B12" s="37" t="s">
        <v>156</v>
      </c>
      <c r="C12" s="38" t="s">
        <v>457</v>
      </c>
      <c r="D12" s="38" t="s">
        <v>458</v>
      </c>
      <c r="E12" s="38" t="s">
        <v>159</v>
      </c>
      <c r="F12" s="26"/>
      <c r="G12" s="27"/>
      <c r="H12" s="27"/>
      <c r="I12" s="27"/>
      <c r="J12" s="28"/>
      <c r="K12" s="27"/>
      <c r="L12" s="28"/>
      <c r="M12" s="27"/>
    </row>
    <row r="13" customFormat="false" ht="39.75" hidden="false" customHeight="true" outlineLevel="0" collapsed="false">
      <c r="A13" s="36" t="s">
        <v>161</v>
      </c>
      <c r="B13" s="37" t="s">
        <v>162</v>
      </c>
      <c r="C13" s="38" t="s">
        <v>164</v>
      </c>
      <c r="D13" s="38" t="s">
        <v>459</v>
      </c>
      <c r="E13" s="38" t="s">
        <v>165</v>
      </c>
      <c r="F13" s="26"/>
      <c r="G13" s="27"/>
      <c r="H13" s="27"/>
      <c r="I13" s="27"/>
      <c r="J13" s="28"/>
      <c r="K13" s="27"/>
      <c r="L13" s="28"/>
      <c r="M13" s="27"/>
    </row>
    <row r="14" customFormat="false" ht="39.75" hidden="false" customHeight="true" outlineLevel="0" collapsed="false">
      <c r="A14" s="36" t="s">
        <v>168</v>
      </c>
      <c r="B14" s="37" t="s">
        <v>460</v>
      </c>
      <c r="C14" s="38" t="s">
        <v>461</v>
      </c>
      <c r="D14" s="38" t="s">
        <v>462</v>
      </c>
      <c r="E14" s="38" t="s">
        <v>463</v>
      </c>
      <c r="F14" s="26"/>
      <c r="G14" s="27"/>
      <c r="H14" s="27"/>
      <c r="I14" s="27"/>
      <c r="J14" s="28"/>
      <c r="K14" s="27"/>
      <c r="L14" s="28"/>
      <c r="M14" s="27"/>
    </row>
    <row r="15" customFormat="false" ht="39.75" hidden="false" customHeight="true" outlineLevel="0" collapsed="false">
      <c r="A15" s="36" t="s">
        <v>174</v>
      </c>
      <c r="B15" s="37" t="s">
        <v>156</v>
      </c>
      <c r="C15" s="38" t="s">
        <v>464</v>
      </c>
      <c r="D15" s="38" t="s">
        <v>465</v>
      </c>
      <c r="E15" s="38" t="s">
        <v>466</v>
      </c>
      <c r="F15" s="26"/>
      <c r="G15" s="27"/>
      <c r="H15" s="27"/>
      <c r="I15" s="27"/>
      <c r="J15" s="28"/>
      <c r="K15" s="27"/>
      <c r="L15" s="28"/>
      <c r="M15" s="27"/>
    </row>
    <row r="16" customFormat="false" ht="39.75" hidden="false" customHeight="true" outlineLevel="0" collapsed="false">
      <c r="A16" s="36" t="s">
        <v>179</v>
      </c>
      <c r="B16" s="37" t="s">
        <v>180</v>
      </c>
      <c r="C16" s="38" t="s">
        <v>467</v>
      </c>
      <c r="D16" s="38" t="s">
        <v>468</v>
      </c>
      <c r="E16" s="38" t="s">
        <v>469</v>
      </c>
      <c r="F16" s="26"/>
      <c r="G16" s="27"/>
      <c r="H16" s="27"/>
      <c r="I16" s="27"/>
      <c r="J16" s="28"/>
      <c r="K16" s="27"/>
      <c r="L16" s="28"/>
      <c r="M16" s="27"/>
    </row>
    <row r="17" customFormat="false" ht="39.75" hidden="false" customHeight="true" outlineLevel="0" collapsed="false">
      <c r="A17" s="36" t="s">
        <v>184</v>
      </c>
      <c r="B17" s="37" t="s">
        <v>185</v>
      </c>
      <c r="C17" s="38" t="s">
        <v>470</v>
      </c>
      <c r="D17" s="38" t="s">
        <v>471</v>
      </c>
      <c r="E17" s="38" t="s">
        <v>472</v>
      </c>
      <c r="F17" s="26"/>
      <c r="G17" s="27"/>
      <c r="H17" s="27"/>
      <c r="I17" s="27"/>
      <c r="J17" s="28"/>
      <c r="K17" s="27"/>
      <c r="L17" s="28"/>
      <c r="M17" s="27"/>
    </row>
    <row r="18" customFormat="false" ht="39.75" hidden="false" customHeight="true" outlineLevel="0" collapsed="false">
      <c r="A18" s="36" t="s">
        <v>189</v>
      </c>
      <c r="B18" s="37" t="s">
        <v>190</v>
      </c>
      <c r="C18" s="38" t="s">
        <v>473</v>
      </c>
      <c r="D18" s="38" t="s">
        <v>474</v>
      </c>
      <c r="E18" s="38" t="s">
        <v>192</v>
      </c>
      <c r="F18" s="26"/>
      <c r="G18" s="27"/>
      <c r="H18" s="27"/>
      <c r="I18" s="27"/>
      <c r="J18" s="28"/>
      <c r="K18" s="27"/>
      <c r="L18" s="28"/>
      <c r="M18" s="27"/>
    </row>
    <row r="19" customFormat="false" ht="39.75" hidden="false" customHeight="true" outlineLevel="0" collapsed="false">
      <c r="A19" s="36" t="s">
        <v>194</v>
      </c>
      <c r="B19" s="37" t="s">
        <v>475</v>
      </c>
      <c r="C19" s="38" t="s">
        <v>476</v>
      </c>
      <c r="D19" s="38" t="s">
        <v>477</v>
      </c>
      <c r="E19" s="38" t="s">
        <v>182</v>
      </c>
      <c r="F19" s="26"/>
      <c r="G19" s="27"/>
      <c r="H19" s="27"/>
      <c r="I19" s="27"/>
      <c r="J19" s="28"/>
      <c r="K19" s="27"/>
      <c r="L19" s="28"/>
      <c r="M19" s="27"/>
    </row>
    <row r="20" customFormat="false" ht="39.75" hidden="false" customHeight="true" outlineLevel="0" collapsed="false">
      <c r="A20" s="36" t="s">
        <v>198</v>
      </c>
      <c r="B20" s="37" t="s">
        <v>132</v>
      </c>
      <c r="C20" s="38" t="s">
        <v>478</v>
      </c>
      <c r="D20" s="38" t="s">
        <v>479</v>
      </c>
      <c r="E20" s="38" t="s">
        <v>480</v>
      </c>
      <c r="F20" s="26"/>
      <c r="G20" s="27"/>
      <c r="H20" s="27"/>
      <c r="I20" s="27"/>
      <c r="J20" s="28"/>
      <c r="K20" s="27"/>
      <c r="L20" s="28"/>
      <c r="M20" s="27"/>
    </row>
    <row r="21" customFormat="false" ht="39.75" hidden="false" customHeight="true" outlineLevel="0" collapsed="false">
      <c r="A21" s="36" t="s">
        <v>203</v>
      </c>
      <c r="B21" s="37" t="s">
        <v>204</v>
      </c>
      <c r="C21" s="38" t="s">
        <v>481</v>
      </c>
      <c r="D21" s="38" t="s">
        <v>482</v>
      </c>
      <c r="E21" s="38" t="s">
        <v>483</v>
      </c>
      <c r="F21" s="26"/>
      <c r="G21" s="27"/>
      <c r="H21" s="27"/>
      <c r="I21" s="27"/>
      <c r="J21" s="28"/>
      <c r="K21" s="27"/>
      <c r="L21" s="28"/>
      <c r="M21" s="27"/>
    </row>
    <row r="22" customFormat="false" ht="39.75" hidden="false" customHeight="true" outlineLevel="0" collapsed="false">
      <c r="A22" s="36" t="s">
        <v>208</v>
      </c>
      <c r="B22" s="37" t="s">
        <v>484</v>
      </c>
      <c r="C22" s="38" t="s">
        <v>485</v>
      </c>
      <c r="D22" s="38" t="s">
        <v>486</v>
      </c>
      <c r="E22" s="38" t="s">
        <v>487</v>
      </c>
      <c r="F22" s="26"/>
      <c r="G22" s="27"/>
      <c r="H22" s="27"/>
      <c r="I22" s="27"/>
      <c r="J22" s="28"/>
      <c r="K22" s="27"/>
      <c r="L22" s="28"/>
      <c r="M22" s="27"/>
    </row>
    <row r="23" customFormat="false" ht="39.75" hidden="false" customHeight="true" outlineLevel="0" collapsed="false">
      <c r="A23" s="36" t="s">
        <v>214</v>
      </c>
      <c r="B23" s="37" t="s">
        <v>215</v>
      </c>
      <c r="C23" s="38" t="s">
        <v>488</v>
      </c>
      <c r="D23" s="38" t="s">
        <v>489</v>
      </c>
      <c r="E23" s="38" t="s">
        <v>490</v>
      </c>
      <c r="F23" s="26"/>
      <c r="G23" s="27"/>
      <c r="H23" s="27"/>
      <c r="I23" s="27"/>
      <c r="J23" s="28"/>
      <c r="K23" s="27"/>
      <c r="L23" s="28"/>
      <c r="M23" s="27"/>
    </row>
    <row r="24" customFormat="false" ht="39.75" hidden="false" customHeight="true" outlineLevel="0" collapsed="false">
      <c r="A24" s="36" t="s">
        <v>219</v>
      </c>
      <c r="B24" s="37" t="s">
        <v>220</v>
      </c>
      <c r="C24" s="38" t="s">
        <v>491</v>
      </c>
      <c r="D24" s="38" t="s">
        <v>492</v>
      </c>
      <c r="E24" s="38" t="s">
        <v>493</v>
      </c>
      <c r="F24" s="26"/>
      <c r="G24" s="27"/>
      <c r="H24" s="27"/>
      <c r="I24" s="27"/>
      <c r="J24" s="28"/>
      <c r="K24" s="27"/>
      <c r="L24" s="28"/>
      <c r="M24" s="27"/>
    </row>
    <row r="25" customFormat="false" ht="39.75" hidden="false" customHeight="true" outlineLevel="0" collapsed="false">
      <c r="A25" s="36" t="s">
        <v>223</v>
      </c>
      <c r="B25" s="37" t="s">
        <v>224</v>
      </c>
      <c r="C25" s="38" t="s">
        <v>494</v>
      </c>
      <c r="D25" s="38" t="s">
        <v>495</v>
      </c>
      <c r="E25" s="38" t="s">
        <v>496</v>
      </c>
      <c r="F25" s="26"/>
      <c r="G25" s="27"/>
      <c r="H25" s="27"/>
      <c r="I25" s="27"/>
      <c r="J25" s="28"/>
      <c r="K25" s="27"/>
      <c r="L25" s="28"/>
      <c r="M25" s="27"/>
    </row>
    <row r="26" customFormat="false" ht="39.75" hidden="false" customHeight="true" outlineLevel="0" collapsed="false">
      <c r="A26" s="36" t="s">
        <v>227</v>
      </c>
      <c r="B26" s="37" t="s">
        <v>497</v>
      </c>
      <c r="C26" s="38" t="s">
        <v>498</v>
      </c>
      <c r="D26" s="38" t="s">
        <v>499</v>
      </c>
      <c r="E26" s="38" t="s">
        <v>500</v>
      </c>
      <c r="F26" s="26"/>
      <c r="G26" s="27"/>
      <c r="H26" s="27"/>
      <c r="I26" s="27"/>
      <c r="J26" s="28"/>
      <c r="K26" s="27"/>
      <c r="L26" s="28"/>
      <c r="M26" s="27"/>
    </row>
    <row r="27" customFormat="false" ht="39.75" hidden="false" customHeight="true" outlineLevel="0" collapsed="false">
      <c r="A27" s="36" t="s">
        <v>231</v>
      </c>
      <c r="B27" s="37" t="s">
        <v>232</v>
      </c>
      <c r="C27" s="38" t="s">
        <v>501</v>
      </c>
      <c r="D27" s="38" t="s">
        <v>502</v>
      </c>
      <c r="E27" s="38" t="s">
        <v>503</v>
      </c>
      <c r="F27" s="26"/>
      <c r="G27" s="27"/>
      <c r="H27" s="27"/>
      <c r="I27" s="27"/>
      <c r="J27" s="28"/>
      <c r="K27" s="27"/>
      <c r="L27" s="28"/>
      <c r="M27" s="27"/>
    </row>
    <row r="28" customFormat="false" ht="39.75" hidden="false" customHeight="true" outlineLevel="0" collapsed="false">
      <c r="A28" s="36" t="s">
        <v>237</v>
      </c>
      <c r="B28" s="37" t="s">
        <v>238</v>
      </c>
      <c r="C28" s="38" t="s">
        <v>504</v>
      </c>
      <c r="D28" s="38" t="s">
        <v>505</v>
      </c>
      <c r="E28" s="38" t="s">
        <v>506</v>
      </c>
      <c r="F28" s="26"/>
      <c r="G28" s="27"/>
      <c r="H28" s="27"/>
      <c r="I28" s="27"/>
      <c r="J28" s="28"/>
      <c r="K28" s="27"/>
      <c r="L28" s="28"/>
      <c r="M28" s="27"/>
    </row>
    <row r="29" customFormat="false" ht="39.75" hidden="false" customHeight="true" outlineLevel="0" collapsed="false">
      <c r="A29" s="36" t="s">
        <v>243</v>
      </c>
      <c r="B29" s="37" t="s">
        <v>244</v>
      </c>
      <c r="C29" s="38" t="s">
        <v>507</v>
      </c>
      <c r="D29" s="38" t="s">
        <v>246</v>
      </c>
      <c r="E29" s="38" t="s">
        <v>508</v>
      </c>
      <c r="F29" s="26"/>
      <c r="G29" s="27"/>
      <c r="H29" s="27"/>
      <c r="I29" s="27"/>
      <c r="J29" s="28"/>
      <c r="K29" s="27"/>
      <c r="L29" s="28"/>
      <c r="M29" s="27"/>
    </row>
    <row r="31" customFormat="false" ht="48" hidden="false" customHeight="true" outlineLevel="0" collapsed="false">
      <c r="A31" s="11" t="s">
        <v>509</v>
      </c>
    </row>
  </sheetData>
  <autoFilter ref="A5:M14"/>
  <mergeCells count="3">
    <mergeCell ref="A1:M1"/>
    <mergeCell ref="A2:M2"/>
    <mergeCell ref="A3:E3"/>
  </mergeCells>
  <conditionalFormatting sqref="G6:G14">
    <cfRule type="cellIs" priority="2" operator="equal" aboveAverage="0" equalAverage="0" bottom="0" percent="0" rank="0" text="" dxfId="7">
      <formula>"Offer"</formula>
    </cfRule>
    <cfRule type="cellIs" priority="3" operator="equal" aboveAverage="0" equalAverage="0" bottom="0" percent="0" rank="0" text="" dxfId="8">
      <formula>"Interviewing"</formula>
    </cfRule>
    <cfRule type="cellIs" priority="4" operator="equal" aboveAverage="0" equalAverage="0" bottom="0" percent="0" rank="0" text="" dxfId="9">
      <formula>"Follow-up due"</formula>
    </cfRule>
    <cfRule type="cellIs" priority="5" operator="equal" aboveAverage="0" equalAverage="0" bottom="0" percent="0" rank="0" text="" dxfId="10">
      <formula>"Pass"</formula>
    </cfRule>
  </conditionalFormatting>
  <dataValidations count="2">
    <dataValidation allowBlank="true" errorStyle="stop" operator="between" showDropDown="false" showErrorMessage="false" showInputMessage="false" sqref="F6:F14" type="list">
      <formula1>"High,Medium,Low"</formula1>
      <formula2>0</formula2>
    </dataValidation>
    <dataValidation allowBlank="true" errorStyle="stop" operator="between" showDropDown="false" showErrorMessage="false" showInputMessage="false" sqref="G6:G14" type="list">
      <formula1>"Not started,Researching,Outreach sent,Chat scheduled,Chat done,Follow-up due,Interviewing,Closed list,Offer,Pass"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M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7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6"/>
    <col collapsed="false" customWidth="true" hidden="false" outlineLevel="0" max="8" min="8" style="0" width="23"/>
    <col collapsed="false" customWidth="true" hidden="false" outlineLevel="0" max="9" min="9" style="0" width="26"/>
    <col collapsed="false" customWidth="true" hidden="false" outlineLevel="0" max="10" min="10" style="0" width="9"/>
    <col collapsed="false" customWidth="true" hidden="false" outlineLevel="0" max="11" min="11" style="0" width="6"/>
    <col collapsed="false" customWidth="true" hidden="false" outlineLevel="0" max="12" min="12" style="0" width="24"/>
    <col collapsed="false" customWidth="true" hidden="false" outlineLevel="0" max="13" min="13" style="0" width="14"/>
  </cols>
  <sheetData>
    <row r="1" customFormat="false" ht="24" hidden="false" customHeight="true" outlineLevel="0" collapsed="false">
      <c r="A1" s="39" t="s">
        <v>510</v>
      </c>
    </row>
    <row r="2" customFormat="false" ht="15.75" hidden="false" customHeight="true" outlineLevel="0" collapsed="false">
      <c r="A2" s="40" t="s">
        <v>511</v>
      </c>
    </row>
    <row r="3" customFormat="false" ht="13.5" hidden="false" customHeight="true" outlineLevel="0" collapsed="false">
      <c r="A3" s="41" t="s">
        <v>512</v>
      </c>
      <c r="H3" s="5" t="s">
        <v>513</v>
      </c>
      <c r="I3" s="42" t="n">
        <f aca="false">COUNTA($A$6:$A$144)</f>
        <v>139</v>
      </c>
    </row>
    <row r="4" customFormat="false" ht="6" hidden="false" customHeight="true" outlineLevel="0" collapsed="false"/>
    <row r="5" customFormat="false" ht="27.75" hidden="false" customHeight="true" outlineLevel="0" collapsed="false">
      <c r="A5" s="7" t="s">
        <v>514</v>
      </c>
      <c r="B5" s="7" t="s">
        <v>445</v>
      </c>
      <c r="C5" s="7" t="s">
        <v>9</v>
      </c>
      <c r="D5" s="7" t="s">
        <v>515</v>
      </c>
      <c r="E5" s="7" t="s">
        <v>516</v>
      </c>
      <c r="F5" s="7" t="s">
        <v>517</v>
      </c>
      <c r="G5" s="7" t="s">
        <v>518</v>
      </c>
      <c r="H5" s="7" t="s">
        <v>519</v>
      </c>
      <c r="I5" s="7" t="s">
        <v>13</v>
      </c>
      <c r="J5" s="7" t="s">
        <v>14</v>
      </c>
      <c r="K5" s="7" t="s">
        <v>520</v>
      </c>
      <c r="L5" s="7" t="s">
        <v>390</v>
      </c>
      <c r="M5" s="7" t="s">
        <v>521</v>
      </c>
    </row>
    <row r="6" customFormat="false" ht="23.85" hidden="false" customHeight="false" outlineLevel="0" collapsed="false">
      <c r="A6" s="8" t="s">
        <v>117</v>
      </c>
      <c r="B6" s="9" t="s">
        <v>119</v>
      </c>
      <c r="C6" s="9" t="s">
        <v>120</v>
      </c>
      <c r="D6" s="9" t="s">
        <v>522</v>
      </c>
      <c r="E6" s="9" t="s">
        <v>523</v>
      </c>
      <c r="F6" s="9" t="s">
        <v>524</v>
      </c>
      <c r="G6" s="9" t="s">
        <v>447</v>
      </c>
      <c r="H6" s="9" t="s">
        <v>525</v>
      </c>
      <c r="I6" s="9" t="s">
        <v>526</v>
      </c>
      <c r="J6" s="9" t="s">
        <v>527</v>
      </c>
      <c r="K6" s="9" t="s">
        <v>528</v>
      </c>
      <c r="L6" s="9" t="s">
        <v>529</v>
      </c>
      <c r="M6" s="43"/>
    </row>
    <row r="7" customFormat="false" ht="23.85" hidden="false" customHeight="false" outlineLevel="0" collapsed="false">
      <c r="A7" s="8" t="s">
        <v>125</v>
      </c>
      <c r="B7" s="9" t="s">
        <v>119</v>
      </c>
      <c r="C7" s="9" t="s">
        <v>126</v>
      </c>
      <c r="D7" s="9" t="s">
        <v>530</v>
      </c>
      <c r="E7" s="9" t="s">
        <v>531</v>
      </c>
      <c r="F7" s="9" t="s">
        <v>532</v>
      </c>
      <c r="G7" s="9" t="s">
        <v>533</v>
      </c>
      <c r="H7" s="9" t="s">
        <v>534</v>
      </c>
      <c r="I7" s="9" t="s">
        <v>535</v>
      </c>
      <c r="J7" s="9" t="s">
        <v>527</v>
      </c>
      <c r="K7" s="9" t="s">
        <v>528</v>
      </c>
      <c r="L7" s="9" t="s">
        <v>529</v>
      </c>
      <c r="M7" s="43"/>
    </row>
    <row r="8" customFormat="false" ht="23.85" hidden="false" customHeight="false" outlineLevel="0" collapsed="false">
      <c r="A8" s="8" t="s">
        <v>131</v>
      </c>
      <c r="B8" s="9" t="s">
        <v>132</v>
      </c>
      <c r="C8" s="9" t="s">
        <v>133</v>
      </c>
      <c r="D8" s="9" t="s">
        <v>530</v>
      </c>
      <c r="E8" s="9" t="s">
        <v>536</v>
      </c>
      <c r="F8" s="9" t="s">
        <v>537</v>
      </c>
      <c r="G8" s="9" t="s">
        <v>538</v>
      </c>
      <c r="H8" s="9" t="s">
        <v>539</v>
      </c>
      <c r="I8" s="9" t="s">
        <v>540</v>
      </c>
      <c r="J8" s="9" t="s">
        <v>541</v>
      </c>
      <c r="K8" s="9" t="s">
        <v>528</v>
      </c>
      <c r="L8" s="9" t="s">
        <v>529</v>
      </c>
      <c r="M8" s="43"/>
    </row>
    <row r="9" customFormat="false" ht="23.85" hidden="false" customHeight="false" outlineLevel="0" collapsed="false">
      <c r="A9" s="8" t="s">
        <v>138</v>
      </c>
      <c r="B9" s="9" t="s">
        <v>139</v>
      </c>
      <c r="C9" s="9" t="s">
        <v>140</v>
      </c>
      <c r="D9" s="9" t="s">
        <v>530</v>
      </c>
      <c r="E9" s="9" t="s">
        <v>536</v>
      </c>
      <c r="F9" s="9" t="s">
        <v>542</v>
      </c>
      <c r="G9" s="9" t="s">
        <v>543</v>
      </c>
      <c r="H9" s="9" t="s">
        <v>182</v>
      </c>
      <c r="I9" s="9" t="s">
        <v>544</v>
      </c>
      <c r="J9" s="9" t="s">
        <v>527</v>
      </c>
      <c r="K9" s="9" t="s">
        <v>528</v>
      </c>
      <c r="L9" s="9" t="s">
        <v>529</v>
      </c>
      <c r="M9" s="43"/>
    </row>
    <row r="10" customFormat="false" ht="23.85" hidden="false" customHeight="false" outlineLevel="0" collapsed="false">
      <c r="A10" s="8" t="s">
        <v>144</v>
      </c>
      <c r="B10" s="9" t="s">
        <v>204</v>
      </c>
      <c r="C10" s="9" t="s">
        <v>146</v>
      </c>
      <c r="D10" s="9" t="s">
        <v>545</v>
      </c>
      <c r="E10" s="9" t="s">
        <v>546</v>
      </c>
      <c r="F10" s="9" t="s">
        <v>547</v>
      </c>
      <c r="G10" s="9" t="s">
        <v>206</v>
      </c>
      <c r="H10" s="9" t="s">
        <v>149</v>
      </c>
      <c r="I10" s="9" t="s">
        <v>37</v>
      </c>
      <c r="J10" s="9" t="s">
        <v>527</v>
      </c>
      <c r="K10" s="9" t="s">
        <v>528</v>
      </c>
      <c r="L10" s="9" t="s">
        <v>529</v>
      </c>
      <c r="M10" s="43"/>
    </row>
    <row r="11" customFormat="false" ht="23.85" hidden="false" customHeight="false" outlineLevel="0" collapsed="false">
      <c r="A11" s="8" t="s">
        <v>150</v>
      </c>
      <c r="B11" s="9" t="s">
        <v>151</v>
      </c>
      <c r="C11" s="9" t="s">
        <v>548</v>
      </c>
      <c r="D11" s="9" t="s">
        <v>530</v>
      </c>
      <c r="E11" s="9" t="s">
        <v>549</v>
      </c>
      <c r="F11" s="9" t="s">
        <v>550</v>
      </c>
      <c r="G11" s="9" t="s">
        <v>456</v>
      </c>
      <c r="H11" s="9" t="s">
        <v>182</v>
      </c>
      <c r="I11" s="9" t="s">
        <v>37</v>
      </c>
      <c r="J11" s="9" t="s">
        <v>541</v>
      </c>
      <c r="K11" s="9" t="s">
        <v>528</v>
      </c>
      <c r="L11" s="9" t="s">
        <v>529</v>
      </c>
      <c r="M11" s="43"/>
    </row>
    <row r="12" customFormat="false" ht="23.85" hidden="false" customHeight="false" outlineLevel="0" collapsed="false">
      <c r="A12" s="8" t="s">
        <v>155</v>
      </c>
      <c r="B12" s="9" t="s">
        <v>156</v>
      </c>
      <c r="C12" s="9" t="s">
        <v>157</v>
      </c>
      <c r="D12" s="9" t="s">
        <v>9</v>
      </c>
      <c r="E12" s="9" t="s">
        <v>551</v>
      </c>
      <c r="F12" s="9" t="s">
        <v>552</v>
      </c>
      <c r="G12" s="9" t="s">
        <v>458</v>
      </c>
      <c r="H12" s="9" t="s">
        <v>553</v>
      </c>
      <c r="I12" s="9" t="s">
        <v>554</v>
      </c>
      <c r="J12" s="9" t="s">
        <v>527</v>
      </c>
      <c r="K12" s="9" t="s">
        <v>528</v>
      </c>
      <c r="L12" s="9" t="s">
        <v>529</v>
      </c>
      <c r="M12" s="43"/>
    </row>
    <row r="13" customFormat="false" ht="23.85" hidden="false" customHeight="false" outlineLevel="0" collapsed="false">
      <c r="A13" s="8" t="s">
        <v>161</v>
      </c>
      <c r="B13" s="9" t="s">
        <v>162</v>
      </c>
      <c r="C13" s="9" t="s">
        <v>555</v>
      </c>
      <c r="D13" s="9" t="s">
        <v>556</v>
      </c>
      <c r="E13" s="9" t="s">
        <v>557</v>
      </c>
      <c r="F13" s="9" t="s">
        <v>558</v>
      </c>
      <c r="G13" s="9" t="s">
        <v>559</v>
      </c>
      <c r="H13" s="9" t="s">
        <v>560</v>
      </c>
      <c r="I13" s="9" t="s">
        <v>561</v>
      </c>
      <c r="J13" s="9" t="s">
        <v>541</v>
      </c>
      <c r="K13" s="9" t="s">
        <v>528</v>
      </c>
      <c r="L13" s="9" t="s">
        <v>529</v>
      </c>
      <c r="M13" s="43"/>
    </row>
    <row r="14" customFormat="false" ht="23.85" hidden="false" customHeight="false" outlineLevel="0" collapsed="false">
      <c r="A14" s="8" t="s">
        <v>168</v>
      </c>
      <c r="B14" s="9" t="s">
        <v>169</v>
      </c>
      <c r="C14" s="9" t="s">
        <v>562</v>
      </c>
      <c r="D14" s="9" t="s">
        <v>9</v>
      </c>
      <c r="E14" s="9" t="s">
        <v>536</v>
      </c>
      <c r="F14" s="9" t="s">
        <v>563</v>
      </c>
      <c r="G14" s="9" t="s">
        <v>462</v>
      </c>
      <c r="H14" s="9" t="s">
        <v>564</v>
      </c>
      <c r="I14" s="9" t="s">
        <v>565</v>
      </c>
      <c r="J14" s="9" t="s">
        <v>527</v>
      </c>
      <c r="K14" s="9" t="s">
        <v>528</v>
      </c>
      <c r="L14" s="9" t="s">
        <v>566</v>
      </c>
      <c r="M14" s="43"/>
    </row>
    <row r="15" customFormat="false" ht="23.85" hidden="false" customHeight="false" outlineLevel="0" collapsed="false">
      <c r="A15" s="8" t="s">
        <v>567</v>
      </c>
      <c r="B15" s="9" t="s">
        <v>119</v>
      </c>
      <c r="C15" s="9" t="s">
        <v>562</v>
      </c>
      <c r="D15" s="9" t="s">
        <v>9</v>
      </c>
      <c r="E15" s="9" t="s">
        <v>568</v>
      </c>
      <c r="F15" s="9" t="s">
        <v>569</v>
      </c>
      <c r="G15" s="9" t="s">
        <v>570</v>
      </c>
      <c r="H15" s="9" t="s">
        <v>192</v>
      </c>
      <c r="I15" s="9" t="s">
        <v>571</v>
      </c>
      <c r="J15" s="9" t="s">
        <v>541</v>
      </c>
      <c r="K15" s="9" t="s">
        <v>528</v>
      </c>
      <c r="L15" s="9" t="s">
        <v>572</v>
      </c>
      <c r="M15" s="43"/>
    </row>
    <row r="16" customFormat="false" ht="23.85" hidden="false" customHeight="false" outlineLevel="0" collapsed="false">
      <c r="A16" s="8" t="s">
        <v>573</v>
      </c>
      <c r="B16" s="9" t="s">
        <v>574</v>
      </c>
      <c r="C16" s="9" t="s">
        <v>575</v>
      </c>
      <c r="D16" s="9" t="s">
        <v>9</v>
      </c>
      <c r="E16" s="9" t="s">
        <v>576</v>
      </c>
      <c r="F16" s="9" t="s">
        <v>577</v>
      </c>
      <c r="G16" s="9" t="s">
        <v>578</v>
      </c>
      <c r="H16" s="9" t="s">
        <v>579</v>
      </c>
      <c r="I16" s="9" t="s">
        <v>580</v>
      </c>
      <c r="J16" s="9" t="s">
        <v>541</v>
      </c>
      <c r="K16" s="9" t="s">
        <v>528</v>
      </c>
      <c r="L16" s="9" t="s">
        <v>581</v>
      </c>
      <c r="M16" s="43"/>
    </row>
    <row r="17" customFormat="false" ht="23.85" hidden="false" customHeight="false" outlineLevel="0" collapsed="false">
      <c r="A17" s="8" t="s">
        <v>582</v>
      </c>
      <c r="B17" s="9" t="s">
        <v>119</v>
      </c>
      <c r="C17" s="9" t="s">
        <v>583</v>
      </c>
      <c r="D17" s="9" t="s">
        <v>37</v>
      </c>
      <c r="E17" s="9" t="s">
        <v>536</v>
      </c>
      <c r="F17" s="9" t="s">
        <v>584</v>
      </c>
      <c r="G17" s="9" t="s">
        <v>585</v>
      </c>
      <c r="H17" s="9" t="s">
        <v>586</v>
      </c>
      <c r="I17" s="9" t="s">
        <v>37</v>
      </c>
      <c r="J17" s="9" t="s">
        <v>587</v>
      </c>
      <c r="K17" s="9" t="s">
        <v>588</v>
      </c>
      <c r="L17" s="9"/>
      <c r="M17" s="43"/>
    </row>
    <row r="18" customFormat="false" ht="23.85" hidden="false" customHeight="false" outlineLevel="0" collapsed="false">
      <c r="A18" s="8" t="s">
        <v>589</v>
      </c>
      <c r="B18" s="9" t="s">
        <v>119</v>
      </c>
      <c r="C18" s="9" t="s">
        <v>590</v>
      </c>
      <c r="D18" s="9" t="s">
        <v>556</v>
      </c>
      <c r="E18" s="9" t="s">
        <v>536</v>
      </c>
      <c r="F18" s="9" t="s">
        <v>591</v>
      </c>
      <c r="G18" s="9" t="s">
        <v>592</v>
      </c>
      <c r="H18" s="9" t="s">
        <v>593</v>
      </c>
      <c r="I18" s="9" t="s">
        <v>37</v>
      </c>
      <c r="J18" s="9" t="s">
        <v>587</v>
      </c>
      <c r="K18" s="9" t="s">
        <v>588</v>
      </c>
      <c r="L18" s="9"/>
      <c r="M18" s="43"/>
    </row>
    <row r="19" customFormat="false" ht="15" hidden="false" customHeight="false" outlineLevel="0" collapsed="false">
      <c r="A19" s="8" t="s">
        <v>594</v>
      </c>
      <c r="B19" s="9" t="s">
        <v>151</v>
      </c>
      <c r="C19" s="9" t="s">
        <v>595</v>
      </c>
      <c r="D19" s="9" t="s">
        <v>596</v>
      </c>
      <c r="E19" s="9" t="s">
        <v>597</v>
      </c>
      <c r="F19" s="9" t="s">
        <v>598</v>
      </c>
      <c r="G19" s="9" t="s">
        <v>599</v>
      </c>
      <c r="H19" s="9" t="s">
        <v>586</v>
      </c>
      <c r="I19" s="9" t="s">
        <v>37</v>
      </c>
      <c r="J19" s="9" t="s">
        <v>587</v>
      </c>
      <c r="K19" s="9" t="s">
        <v>588</v>
      </c>
      <c r="L19" s="9"/>
      <c r="M19" s="43"/>
    </row>
    <row r="20" customFormat="false" ht="15" hidden="false" customHeight="false" outlineLevel="0" collapsed="false">
      <c r="A20" s="8" t="s">
        <v>600</v>
      </c>
      <c r="B20" s="9" t="s">
        <v>151</v>
      </c>
      <c r="C20" s="9" t="s">
        <v>601</v>
      </c>
      <c r="D20" s="9" t="s">
        <v>37</v>
      </c>
      <c r="E20" s="9" t="s">
        <v>602</v>
      </c>
      <c r="F20" s="9" t="s">
        <v>603</v>
      </c>
      <c r="G20" s="9" t="s">
        <v>604</v>
      </c>
      <c r="H20" s="9" t="s">
        <v>37</v>
      </c>
      <c r="I20" s="9" t="s">
        <v>37</v>
      </c>
      <c r="J20" s="9" t="s">
        <v>605</v>
      </c>
      <c r="K20" s="9" t="s">
        <v>588</v>
      </c>
      <c r="L20" s="9"/>
      <c r="M20" s="43"/>
    </row>
    <row r="21" customFormat="false" ht="15" hidden="false" customHeight="false" outlineLevel="0" collapsed="false">
      <c r="A21" s="8" t="s">
        <v>606</v>
      </c>
      <c r="B21" s="9" t="s">
        <v>151</v>
      </c>
      <c r="C21" s="9" t="s">
        <v>607</v>
      </c>
      <c r="D21" s="9" t="s">
        <v>608</v>
      </c>
      <c r="E21" s="9" t="s">
        <v>609</v>
      </c>
      <c r="F21" s="9" t="s">
        <v>610</v>
      </c>
      <c r="G21" s="9" t="s">
        <v>611</v>
      </c>
      <c r="H21" s="9" t="s">
        <v>612</v>
      </c>
      <c r="I21" s="9" t="s">
        <v>37</v>
      </c>
      <c r="J21" s="9" t="s">
        <v>605</v>
      </c>
      <c r="K21" s="9" t="s">
        <v>588</v>
      </c>
      <c r="L21" s="9"/>
      <c r="M21" s="43"/>
    </row>
    <row r="22" customFormat="false" ht="15" hidden="false" customHeight="false" outlineLevel="0" collapsed="false">
      <c r="A22" s="8" t="s">
        <v>613</v>
      </c>
      <c r="B22" s="9" t="s">
        <v>151</v>
      </c>
      <c r="C22" s="9" t="s">
        <v>614</v>
      </c>
      <c r="D22" s="9" t="s">
        <v>615</v>
      </c>
      <c r="E22" s="9" t="s">
        <v>616</v>
      </c>
      <c r="F22" s="9" t="s">
        <v>617</v>
      </c>
      <c r="G22" s="9" t="s">
        <v>618</v>
      </c>
      <c r="H22" s="9" t="s">
        <v>619</v>
      </c>
      <c r="I22" s="9" t="s">
        <v>620</v>
      </c>
      <c r="J22" s="9" t="s">
        <v>587</v>
      </c>
      <c r="K22" s="9" t="s">
        <v>588</v>
      </c>
      <c r="L22" s="9"/>
      <c r="M22" s="43"/>
    </row>
    <row r="23" customFormat="false" ht="23.85" hidden="false" customHeight="false" outlineLevel="0" collapsed="false">
      <c r="A23" s="8" t="s">
        <v>621</v>
      </c>
      <c r="B23" s="9" t="s">
        <v>622</v>
      </c>
      <c r="C23" s="9" t="s">
        <v>562</v>
      </c>
      <c r="D23" s="9" t="s">
        <v>9</v>
      </c>
      <c r="E23" s="9" t="s">
        <v>623</v>
      </c>
      <c r="F23" s="9" t="s">
        <v>624</v>
      </c>
      <c r="G23" s="9" t="s">
        <v>625</v>
      </c>
      <c r="H23" s="9" t="s">
        <v>626</v>
      </c>
      <c r="I23" s="9" t="s">
        <v>627</v>
      </c>
      <c r="J23" s="9" t="s">
        <v>587</v>
      </c>
      <c r="K23" s="9" t="s">
        <v>588</v>
      </c>
      <c r="L23" s="9"/>
      <c r="M23" s="43"/>
    </row>
    <row r="24" customFormat="false" ht="15" hidden="false" customHeight="false" outlineLevel="0" collapsed="false">
      <c r="A24" s="8" t="s">
        <v>628</v>
      </c>
      <c r="B24" s="9" t="s">
        <v>119</v>
      </c>
      <c r="C24" s="9" t="s">
        <v>629</v>
      </c>
      <c r="D24" s="9" t="s">
        <v>37</v>
      </c>
      <c r="E24" s="9" t="s">
        <v>630</v>
      </c>
      <c r="F24" s="9" t="s">
        <v>631</v>
      </c>
      <c r="G24" s="9" t="s">
        <v>632</v>
      </c>
      <c r="H24" s="9" t="s">
        <v>37</v>
      </c>
      <c r="I24" s="9" t="s">
        <v>633</v>
      </c>
      <c r="J24" s="9" t="s">
        <v>605</v>
      </c>
      <c r="K24" s="9" t="s">
        <v>528</v>
      </c>
      <c r="L24" s="9"/>
      <c r="M24" s="43"/>
    </row>
    <row r="25" customFormat="false" ht="15" hidden="false" customHeight="false" outlineLevel="0" collapsed="false">
      <c r="A25" s="8" t="s">
        <v>634</v>
      </c>
      <c r="B25" s="9" t="s">
        <v>119</v>
      </c>
      <c r="C25" s="9" t="s">
        <v>635</v>
      </c>
      <c r="D25" s="9" t="s">
        <v>37</v>
      </c>
      <c r="E25" s="9" t="s">
        <v>536</v>
      </c>
      <c r="F25" s="9" t="s">
        <v>636</v>
      </c>
      <c r="G25" s="9" t="s">
        <v>637</v>
      </c>
      <c r="H25" s="9" t="s">
        <v>37</v>
      </c>
      <c r="I25" s="9" t="s">
        <v>37</v>
      </c>
      <c r="J25" s="9" t="s">
        <v>605</v>
      </c>
      <c r="K25" s="9" t="s">
        <v>588</v>
      </c>
      <c r="L25" s="9"/>
      <c r="M25" s="43"/>
    </row>
    <row r="26" customFormat="false" ht="15" hidden="false" customHeight="false" outlineLevel="0" collapsed="false">
      <c r="A26" s="8" t="s">
        <v>638</v>
      </c>
      <c r="B26" s="9" t="s">
        <v>119</v>
      </c>
      <c r="C26" s="9" t="s">
        <v>639</v>
      </c>
      <c r="D26" s="9" t="s">
        <v>37</v>
      </c>
      <c r="E26" s="9" t="s">
        <v>536</v>
      </c>
      <c r="F26" s="9" t="s">
        <v>640</v>
      </c>
      <c r="G26" s="9" t="s">
        <v>641</v>
      </c>
      <c r="H26" s="9" t="s">
        <v>37</v>
      </c>
      <c r="I26" s="9" t="s">
        <v>37</v>
      </c>
      <c r="J26" s="9" t="s">
        <v>605</v>
      </c>
      <c r="K26" s="9" t="s">
        <v>588</v>
      </c>
      <c r="L26" s="9"/>
      <c r="M26" s="43"/>
    </row>
    <row r="27" customFormat="false" ht="15" hidden="false" customHeight="false" outlineLevel="0" collapsed="false">
      <c r="A27" s="8" t="s">
        <v>642</v>
      </c>
      <c r="B27" s="9" t="s">
        <v>643</v>
      </c>
      <c r="C27" s="9" t="s">
        <v>639</v>
      </c>
      <c r="D27" s="9" t="s">
        <v>37</v>
      </c>
      <c r="E27" s="9" t="s">
        <v>644</v>
      </c>
      <c r="F27" s="9" t="s">
        <v>645</v>
      </c>
      <c r="G27" s="9" t="s">
        <v>646</v>
      </c>
      <c r="H27" s="9" t="s">
        <v>37</v>
      </c>
      <c r="I27" s="9" t="s">
        <v>647</v>
      </c>
      <c r="J27" s="9" t="s">
        <v>605</v>
      </c>
      <c r="K27" s="9" t="s">
        <v>528</v>
      </c>
      <c r="L27" s="9"/>
      <c r="M27" s="43"/>
    </row>
    <row r="28" customFormat="false" ht="15" hidden="false" customHeight="false" outlineLevel="0" collapsed="false">
      <c r="A28" s="8" t="s">
        <v>648</v>
      </c>
      <c r="B28" s="9" t="s">
        <v>649</v>
      </c>
      <c r="C28" s="9" t="s">
        <v>650</v>
      </c>
      <c r="D28" s="9" t="s">
        <v>37</v>
      </c>
      <c r="E28" s="9" t="s">
        <v>536</v>
      </c>
      <c r="F28" s="9" t="s">
        <v>651</v>
      </c>
      <c r="G28" s="9" t="s">
        <v>652</v>
      </c>
      <c r="H28" s="9" t="s">
        <v>37</v>
      </c>
      <c r="I28" s="9" t="s">
        <v>37</v>
      </c>
      <c r="J28" s="9" t="s">
        <v>605</v>
      </c>
      <c r="K28" s="9" t="s">
        <v>588</v>
      </c>
      <c r="L28" s="9"/>
      <c r="M28" s="43"/>
    </row>
    <row r="29" customFormat="false" ht="15" hidden="false" customHeight="false" outlineLevel="0" collapsed="false">
      <c r="A29" s="8" t="s">
        <v>653</v>
      </c>
      <c r="B29" s="9" t="s">
        <v>654</v>
      </c>
      <c r="C29" s="9" t="s">
        <v>555</v>
      </c>
      <c r="D29" s="9" t="s">
        <v>37</v>
      </c>
      <c r="E29" s="9" t="s">
        <v>536</v>
      </c>
      <c r="F29" s="9" t="s">
        <v>655</v>
      </c>
      <c r="G29" s="9" t="s">
        <v>656</v>
      </c>
      <c r="H29" s="9" t="s">
        <v>37</v>
      </c>
      <c r="I29" s="9" t="s">
        <v>37</v>
      </c>
      <c r="J29" s="9" t="s">
        <v>605</v>
      </c>
      <c r="K29" s="9" t="s">
        <v>588</v>
      </c>
      <c r="L29" s="9"/>
      <c r="M29" s="43"/>
    </row>
    <row r="30" customFormat="false" ht="23.85" hidden="false" customHeight="false" outlineLevel="0" collapsed="false">
      <c r="A30" s="8" t="s">
        <v>657</v>
      </c>
      <c r="B30" s="9" t="s">
        <v>658</v>
      </c>
      <c r="C30" s="9" t="s">
        <v>659</v>
      </c>
      <c r="D30" s="9" t="s">
        <v>522</v>
      </c>
      <c r="E30" s="9" t="s">
        <v>660</v>
      </c>
      <c r="F30" s="9" t="s">
        <v>661</v>
      </c>
      <c r="G30" s="9" t="s">
        <v>662</v>
      </c>
      <c r="H30" s="9" t="s">
        <v>663</v>
      </c>
      <c r="I30" s="9" t="s">
        <v>37</v>
      </c>
      <c r="J30" s="9" t="s">
        <v>541</v>
      </c>
      <c r="K30" s="9" t="s">
        <v>588</v>
      </c>
      <c r="L30" s="9"/>
      <c r="M30" s="43"/>
    </row>
    <row r="31" customFormat="false" ht="23.85" hidden="false" customHeight="false" outlineLevel="0" collapsed="false">
      <c r="A31" s="8" t="s">
        <v>198</v>
      </c>
      <c r="B31" s="9" t="s">
        <v>132</v>
      </c>
      <c r="C31" s="9" t="s">
        <v>199</v>
      </c>
      <c r="D31" s="9" t="s">
        <v>664</v>
      </c>
      <c r="E31" s="9" t="s">
        <v>665</v>
      </c>
      <c r="F31" s="9" t="s">
        <v>666</v>
      </c>
      <c r="G31" s="9" t="s">
        <v>667</v>
      </c>
      <c r="H31" s="9" t="s">
        <v>201</v>
      </c>
      <c r="I31" s="9" t="s">
        <v>202</v>
      </c>
      <c r="J31" s="9" t="s">
        <v>527</v>
      </c>
      <c r="K31" s="9" t="s">
        <v>588</v>
      </c>
      <c r="L31" s="9" t="s">
        <v>668</v>
      </c>
      <c r="M31" s="43"/>
    </row>
    <row r="32" customFormat="false" ht="23.85" hidden="false" customHeight="false" outlineLevel="0" collapsed="false">
      <c r="A32" s="8" t="s">
        <v>203</v>
      </c>
      <c r="B32" s="9" t="s">
        <v>204</v>
      </c>
      <c r="C32" s="9" t="s">
        <v>555</v>
      </c>
      <c r="D32" s="9" t="s">
        <v>530</v>
      </c>
      <c r="E32" s="9" t="s">
        <v>669</v>
      </c>
      <c r="F32" s="9" t="s">
        <v>670</v>
      </c>
      <c r="G32" s="9" t="s">
        <v>671</v>
      </c>
      <c r="H32" s="9" t="s">
        <v>206</v>
      </c>
      <c r="I32" s="9" t="s">
        <v>672</v>
      </c>
      <c r="J32" s="9" t="s">
        <v>527</v>
      </c>
      <c r="K32" s="9" t="s">
        <v>588</v>
      </c>
      <c r="L32" s="9" t="s">
        <v>668</v>
      </c>
      <c r="M32" s="43"/>
    </row>
    <row r="33" customFormat="false" ht="15" hidden="false" customHeight="false" outlineLevel="0" collapsed="false">
      <c r="A33" s="8" t="s">
        <v>673</v>
      </c>
      <c r="B33" s="9" t="s">
        <v>674</v>
      </c>
      <c r="C33" s="9" t="s">
        <v>675</v>
      </c>
      <c r="D33" s="9" t="s">
        <v>676</v>
      </c>
      <c r="E33" s="9" t="s">
        <v>677</v>
      </c>
      <c r="F33" s="9" t="s">
        <v>678</v>
      </c>
      <c r="G33" s="9" t="s">
        <v>679</v>
      </c>
      <c r="H33" s="9" t="s">
        <v>619</v>
      </c>
      <c r="I33" s="9" t="s">
        <v>680</v>
      </c>
      <c r="J33" s="9" t="s">
        <v>587</v>
      </c>
      <c r="K33" s="9" t="s">
        <v>588</v>
      </c>
      <c r="L33" s="9"/>
      <c r="M33" s="43"/>
    </row>
    <row r="34" customFormat="false" ht="15" hidden="false" customHeight="false" outlineLevel="0" collapsed="false">
      <c r="A34" s="8" t="s">
        <v>681</v>
      </c>
      <c r="B34" s="9" t="s">
        <v>682</v>
      </c>
      <c r="C34" s="9" t="s">
        <v>683</v>
      </c>
      <c r="D34" s="9" t="s">
        <v>37</v>
      </c>
      <c r="E34" s="9" t="s">
        <v>684</v>
      </c>
      <c r="F34" s="9" t="s">
        <v>685</v>
      </c>
      <c r="G34" s="9" t="s">
        <v>599</v>
      </c>
      <c r="H34" s="9" t="s">
        <v>37</v>
      </c>
      <c r="I34" s="9" t="s">
        <v>686</v>
      </c>
      <c r="J34" s="9" t="s">
        <v>605</v>
      </c>
      <c r="K34" s="9" t="s">
        <v>588</v>
      </c>
      <c r="L34" s="9"/>
      <c r="M34" s="43"/>
    </row>
    <row r="35" customFormat="false" ht="15" hidden="false" customHeight="false" outlineLevel="0" collapsed="false">
      <c r="A35" s="8" t="s">
        <v>687</v>
      </c>
      <c r="B35" s="9" t="s">
        <v>682</v>
      </c>
      <c r="C35" s="9" t="s">
        <v>688</v>
      </c>
      <c r="D35" s="9" t="s">
        <v>37</v>
      </c>
      <c r="E35" s="9" t="s">
        <v>689</v>
      </c>
      <c r="F35" s="9" t="s">
        <v>690</v>
      </c>
      <c r="G35" s="9" t="s">
        <v>37</v>
      </c>
      <c r="H35" s="9" t="s">
        <v>37</v>
      </c>
      <c r="I35" s="9" t="s">
        <v>37</v>
      </c>
      <c r="J35" s="9" t="s">
        <v>605</v>
      </c>
      <c r="K35" s="9" t="s">
        <v>588</v>
      </c>
      <c r="L35" s="9"/>
      <c r="M35" s="43"/>
    </row>
    <row r="36" customFormat="false" ht="15" hidden="false" customHeight="false" outlineLevel="0" collapsed="false">
      <c r="A36" s="8" t="s">
        <v>691</v>
      </c>
      <c r="B36" s="9" t="s">
        <v>209</v>
      </c>
      <c r="C36" s="9" t="s">
        <v>692</v>
      </c>
      <c r="D36" s="9" t="s">
        <v>693</v>
      </c>
      <c r="E36" s="9" t="s">
        <v>536</v>
      </c>
      <c r="F36" s="9" t="s">
        <v>694</v>
      </c>
      <c r="G36" s="9" t="s">
        <v>695</v>
      </c>
      <c r="H36" s="9" t="s">
        <v>696</v>
      </c>
      <c r="I36" s="9" t="s">
        <v>697</v>
      </c>
      <c r="J36" s="9" t="s">
        <v>587</v>
      </c>
      <c r="K36" s="9" t="s">
        <v>588</v>
      </c>
      <c r="L36" s="9"/>
      <c r="M36" s="43"/>
    </row>
    <row r="37" customFormat="false" ht="23.85" hidden="false" customHeight="false" outlineLevel="0" collapsed="false">
      <c r="A37" s="8" t="s">
        <v>208</v>
      </c>
      <c r="B37" s="9" t="s">
        <v>209</v>
      </c>
      <c r="C37" s="9" t="s">
        <v>210</v>
      </c>
      <c r="D37" s="9" t="s">
        <v>37</v>
      </c>
      <c r="E37" s="9" t="s">
        <v>698</v>
      </c>
      <c r="F37" s="9" t="s">
        <v>699</v>
      </c>
      <c r="G37" s="9" t="s">
        <v>700</v>
      </c>
      <c r="H37" s="9" t="s">
        <v>212</v>
      </c>
      <c r="I37" s="9" t="s">
        <v>213</v>
      </c>
      <c r="J37" s="9" t="s">
        <v>541</v>
      </c>
      <c r="K37" s="9" t="s">
        <v>588</v>
      </c>
      <c r="L37" s="9" t="s">
        <v>668</v>
      </c>
      <c r="M37" s="43"/>
    </row>
    <row r="38" customFormat="false" ht="15" hidden="false" customHeight="false" outlineLevel="0" collapsed="false">
      <c r="A38" s="8" t="s">
        <v>701</v>
      </c>
      <c r="B38" s="9" t="s">
        <v>702</v>
      </c>
      <c r="C38" s="9" t="s">
        <v>703</v>
      </c>
      <c r="D38" s="9" t="s">
        <v>37</v>
      </c>
      <c r="E38" s="9" t="s">
        <v>704</v>
      </c>
      <c r="F38" s="9" t="s">
        <v>705</v>
      </c>
      <c r="G38" s="9" t="s">
        <v>706</v>
      </c>
      <c r="H38" s="9" t="s">
        <v>212</v>
      </c>
      <c r="I38" s="9" t="s">
        <v>707</v>
      </c>
      <c r="J38" s="9" t="s">
        <v>587</v>
      </c>
      <c r="K38" s="9" t="s">
        <v>588</v>
      </c>
      <c r="L38" s="9"/>
      <c r="M38" s="43"/>
    </row>
    <row r="39" customFormat="false" ht="23.85" hidden="false" customHeight="false" outlineLevel="0" collapsed="false">
      <c r="A39" s="8" t="s">
        <v>708</v>
      </c>
      <c r="B39" s="9" t="s">
        <v>709</v>
      </c>
      <c r="C39" s="9" t="s">
        <v>710</v>
      </c>
      <c r="D39" s="9" t="s">
        <v>37</v>
      </c>
      <c r="E39" s="9" t="s">
        <v>536</v>
      </c>
      <c r="F39" s="9" t="s">
        <v>711</v>
      </c>
      <c r="G39" s="9" t="s">
        <v>712</v>
      </c>
      <c r="H39" s="9" t="s">
        <v>88</v>
      </c>
      <c r="I39" s="9" t="s">
        <v>713</v>
      </c>
      <c r="J39" s="9" t="s">
        <v>587</v>
      </c>
      <c r="K39" s="9" t="s">
        <v>588</v>
      </c>
      <c r="L39" s="9"/>
      <c r="M39" s="43"/>
    </row>
    <row r="40" customFormat="false" ht="15" hidden="false" customHeight="false" outlineLevel="0" collapsed="false">
      <c r="A40" s="8" t="s">
        <v>714</v>
      </c>
      <c r="B40" s="9" t="s">
        <v>715</v>
      </c>
      <c r="C40" s="9" t="s">
        <v>555</v>
      </c>
      <c r="D40" s="9" t="s">
        <v>530</v>
      </c>
      <c r="E40" s="9" t="s">
        <v>716</v>
      </c>
      <c r="F40" s="9" t="s">
        <v>717</v>
      </c>
      <c r="G40" s="9" t="s">
        <v>718</v>
      </c>
      <c r="H40" s="9" t="s">
        <v>586</v>
      </c>
      <c r="I40" s="9" t="s">
        <v>719</v>
      </c>
      <c r="J40" s="9" t="s">
        <v>587</v>
      </c>
      <c r="K40" s="9" t="s">
        <v>588</v>
      </c>
      <c r="L40" s="9"/>
      <c r="M40" s="43"/>
    </row>
    <row r="41" customFormat="false" ht="15" hidden="false" customHeight="false" outlineLevel="0" collapsed="false">
      <c r="A41" s="8" t="s">
        <v>720</v>
      </c>
      <c r="B41" s="9" t="s">
        <v>132</v>
      </c>
      <c r="C41" s="9" t="s">
        <v>721</v>
      </c>
      <c r="D41" s="9" t="s">
        <v>37</v>
      </c>
      <c r="E41" s="9" t="s">
        <v>722</v>
      </c>
      <c r="F41" s="9" t="s">
        <v>723</v>
      </c>
      <c r="G41" s="9" t="s">
        <v>37</v>
      </c>
      <c r="H41" s="9" t="s">
        <v>37</v>
      </c>
      <c r="I41" s="9" t="s">
        <v>724</v>
      </c>
      <c r="J41" s="9" t="s">
        <v>605</v>
      </c>
      <c r="K41" s="9" t="s">
        <v>588</v>
      </c>
      <c r="L41" s="9"/>
      <c r="M41" s="43"/>
    </row>
    <row r="42" customFormat="false" ht="15" hidden="false" customHeight="false" outlineLevel="0" collapsed="false">
      <c r="A42" s="8" t="s">
        <v>725</v>
      </c>
      <c r="B42" s="9" t="s">
        <v>132</v>
      </c>
      <c r="C42" s="9" t="s">
        <v>726</v>
      </c>
      <c r="D42" s="9" t="s">
        <v>37</v>
      </c>
      <c r="E42" s="9" t="s">
        <v>536</v>
      </c>
      <c r="F42" s="9" t="s">
        <v>727</v>
      </c>
      <c r="G42" s="9" t="s">
        <v>37</v>
      </c>
      <c r="H42" s="9" t="s">
        <v>37</v>
      </c>
      <c r="I42" s="9" t="s">
        <v>728</v>
      </c>
      <c r="J42" s="9" t="s">
        <v>605</v>
      </c>
      <c r="K42" s="9" t="s">
        <v>588</v>
      </c>
      <c r="L42" s="9"/>
      <c r="M42" s="43"/>
    </row>
    <row r="43" customFormat="false" ht="35.05" hidden="false" customHeight="false" outlineLevel="0" collapsed="false">
      <c r="A43" s="8" t="s">
        <v>174</v>
      </c>
      <c r="B43" s="9" t="s">
        <v>156</v>
      </c>
      <c r="C43" s="9" t="s">
        <v>175</v>
      </c>
      <c r="D43" s="9" t="s">
        <v>37</v>
      </c>
      <c r="E43" s="9" t="s">
        <v>536</v>
      </c>
      <c r="F43" s="9" t="s">
        <v>729</v>
      </c>
      <c r="G43" s="9" t="s">
        <v>730</v>
      </c>
      <c r="H43" s="9" t="s">
        <v>731</v>
      </c>
      <c r="I43" s="9" t="s">
        <v>178</v>
      </c>
      <c r="J43" s="9" t="s">
        <v>541</v>
      </c>
      <c r="K43" s="9" t="s">
        <v>528</v>
      </c>
      <c r="L43" s="9" t="s">
        <v>732</v>
      </c>
      <c r="M43" s="43"/>
    </row>
    <row r="44" customFormat="false" ht="23.85" hidden="false" customHeight="false" outlineLevel="0" collapsed="false">
      <c r="A44" s="8" t="s">
        <v>223</v>
      </c>
      <c r="B44" s="9" t="s">
        <v>224</v>
      </c>
      <c r="C44" s="9" t="s">
        <v>562</v>
      </c>
      <c r="D44" s="9" t="s">
        <v>9</v>
      </c>
      <c r="E44" s="9" t="s">
        <v>536</v>
      </c>
      <c r="F44" s="9" t="s">
        <v>733</v>
      </c>
      <c r="G44" s="9" t="s">
        <v>495</v>
      </c>
      <c r="H44" s="9" t="s">
        <v>192</v>
      </c>
      <c r="I44" s="9" t="s">
        <v>734</v>
      </c>
      <c r="J44" s="9" t="s">
        <v>541</v>
      </c>
      <c r="K44" s="9" t="s">
        <v>588</v>
      </c>
      <c r="L44" s="9" t="s">
        <v>735</v>
      </c>
      <c r="M44" s="43"/>
    </row>
    <row r="45" customFormat="false" ht="23.85" hidden="false" customHeight="false" outlineLevel="0" collapsed="false">
      <c r="A45" s="8" t="s">
        <v>736</v>
      </c>
      <c r="B45" s="9" t="s">
        <v>737</v>
      </c>
      <c r="C45" s="9" t="s">
        <v>692</v>
      </c>
      <c r="D45" s="9" t="s">
        <v>738</v>
      </c>
      <c r="E45" s="9" t="s">
        <v>739</v>
      </c>
      <c r="F45" s="9" t="s">
        <v>740</v>
      </c>
      <c r="G45" s="9" t="s">
        <v>741</v>
      </c>
      <c r="H45" s="9" t="s">
        <v>742</v>
      </c>
      <c r="I45" s="9" t="s">
        <v>743</v>
      </c>
      <c r="J45" s="9" t="s">
        <v>587</v>
      </c>
      <c r="K45" s="9" t="s">
        <v>528</v>
      </c>
      <c r="L45" s="9" t="s">
        <v>744</v>
      </c>
      <c r="M45" s="43"/>
    </row>
    <row r="46" customFormat="false" ht="15" hidden="false" customHeight="false" outlineLevel="0" collapsed="false">
      <c r="A46" s="8" t="s">
        <v>745</v>
      </c>
      <c r="B46" s="9" t="s">
        <v>224</v>
      </c>
      <c r="C46" s="9" t="s">
        <v>746</v>
      </c>
      <c r="D46" s="9" t="s">
        <v>37</v>
      </c>
      <c r="E46" s="9" t="s">
        <v>747</v>
      </c>
      <c r="F46" s="9" t="s">
        <v>748</v>
      </c>
      <c r="G46" s="9" t="s">
        <v>749</v>
      </c>
      <c r="H46" s="9" t="s">
        <v>750</v>
      </c>
      <c r="I46" s="9" t="s">
        <v>37</v>
      </c>
      <c r="J46" s="9" t="s">
        <v>587</v>
      </c>
      <c r="K46" s="9" t="s">
        <v>528</v>
      </c>
      <c r="L46" s="9"/>
      <c r="M46" s="43"/>
    </row>
    <row r="47" customFormat="false" ht="15" hidden="false" customHeight="false" outlineLevel="0" collapsed="false">
      <c r="A47" s="8" t="s">
        <v>751</v>
      </c>
      <c r="B47" s="9" t="s">
        <v>752</v>
      </c>
      <c r="C47" s="9" t="s">
        <v>650</v>
      </c>
      <c r="D47" s="9" t="s">
        <v>738</v>
      </c>
      <c r="E47" s="9" t="s">
        <v>536</v>
      </c>
      <c r="F47" s="9" t="s">
        <v>753</v>
      </c>
      <c r="G47" s="9" t="s">
        <v>754</v>
      </c>
      <c r="H47" s="9" t="s">
        <v>586</v>
      </c>
      <c r="I47" s="9" t="s">
        <v>755</v>
      </c>
      <c r="J47" s="9" t="s">
        <v>587</v>
      </c>
      <c r="K47" s="9" t="s">
        <v>588</v>
      </c>
      <c r="L47" s="9"/>
      <c r="M47" s="43"/>
    </row>
    <row r="48" customFormat="false" ht="23.85" hidden="false" customHeight="false" outlineLevel="0" collapsed="false">
      <c r="A48" s="8" t="s">
        <v>194</v>
      </c>
      <c r="B48" s="9" t="s">
        <v>756</v>
      </c>
      <c r="C48" s="9" t="s">
        <v>195</v>
      </c>
      <c r="D48" s="9" t="s">
        <v>556</v>
      </c>
      <c r="E48" s="9" t="s">
        <v>536</v>
      </c>
      <c r="F48" s="9" t="s">
        <v>757</v>
      </c>
      <c r="G48" s="9" t="s">
        <v>758</v>
      </c>
      <c r="H48" s="9" t="s">
        <v>182</v>
      </c>
      <c r="I48" s="9" t="s">
        <v>759</v>
      </c>
      <c r="J48" s="9" t="s">
        <v>541</v>
      </c>
      <c r="K48" s="9" t="s">
        <v>588</v>
      </c>
      <c r="L48" s="9" t="s">
        <v>668</v>
      </c>
      <c r="M48" s="43"/>
    </row>
    <row r="49" customFormat="false" ht="15" hidden="false" customHeight="false" outlineLevel="0" collapsed="false">
      <c r="A49" s="8" t="s">
        <v>760</v>
      </c>
      <c r="B49" s="9" t="s">
        <v>761</v>
      </c>
      <c r="C49" s="9" t="s">
        <v>762</v>
      </c>
      <c r="D49" s="9" t="s">
        <v>37</v>
      </c>
      <c r="E49" s="9" t="s">
        <v>536</v>
      </c>
      <c r="F49" s="9" t="s">
        <v>763</v>
      </c>
      <c r="G49" s="9" t="s">
        <v>37</v>
      </c>
      <c r="H49" s="9" t="s">
        <v>37</v>
      </c>
      <c r="I49" s="9" t="s">
        <v>37</v>
      </c>
      <c r="J49" s="9" t="s">
        <v>605</v>
      </c>
      <c r="K49" s="9" t="s">
        <v>588</v>
      </c>
      <c r="L49" s="9"/>
      <c r="M49" s="43"/>
    </row>
    <row r="50" customFormat="false" ht="15" hidden="false" customHeight="false" outlineLevel="0" collapsed="false">
      <c r="A50" s="8" t="s">
        <v>764</v>
      </c>
      <c r="B50" s="9" t="s">
        <v>761</v>
      </c>
      <c r="C50" s="9" t="s">
        <v>765</v>
      </c>
      <c r="D50" s="9" t="s">
        <v>37</v>
      </c>
      <c r="E50" s="9" t="s">
        <v>536</v>
      </c>
      <c r="F50" s="9" t="s">
        <v>766</v>
      </c>
      <c r="G50" s="9" t="s">
        <v>37</v>
      </c>
      <c r="H50" s="9" t="s">
        <v>37</v>
      </c>
      <c r="I50" s="9" t="s">
        <v>37</v>
      </c>
      <c r="J50" s="9" t="s">
        <v>605</v>
      </c>
      <c r="K50" s="9" t="s">
        <v>588</v>
      </c>
      <c r="L50" s="9"/>
      <c r="M50" s="43"/>
    </row>
    <row r="51" customFormat="false" ht="15" hidden="false" customHeight="false" outlineLevel="0" collapsed="false">
      <c r="A51" s="8" t="s">
        <v>767</v>
      </c>
      <c r="B51" s="9" t="s">
        <v>768</v>
      </c>
      <c r="C51" s="9" t="s">
        <v>769</v>
      </c>
      <c r="D51" s="9" t="s">
        <v>37</v>
      </c>
      <c r="E51" s="9" t="s">
        <v>536</v>
      </c>
      <c r="F51" s="9" t="s">
        <v>770</v>
      </c>
      <c r="G51" s="9" t="s">
        <v>37</v>
      </c>
      <c r="H51" s="9" t="s">
        <v>37</v>
      </c>
      <c r="I51" s="9" t="s">
        <v>37</v>
      </c>
      <c r="J51" s="9" t="s">
        <v>605</v>
      </c>
      <c r="K51" s="9" t="s">
        <v>588</v>
      </c>
      <c r="L51" s="9"/>
      <c r="M51" s="43"/>
    </row>
    <row r="52" customFormat="false" ht="23.85" hidden="false" customHeight="false" outlineLevel="0" collapsed="false">
      <c r="A52" s="8" t="s">
        <v>227</v>
      </c>
      <c r="B52" s="9" t="s">
        <v>497</v>
      </c>
      <c r="C52" s="9" t="s">
        <v>562</v>
      </c>
      <c r="D52" s="9" t="s">
        <v>9</v>
      </c>
      <c r="E52" s="9" t="s">
        <v>771</v>
      </c>
      <c r="F52" s="9" t="s">
        <v>772</v>
      </c>
      <c r="G52" s="9" t="s">
        <v>773</v>
      </c>
      <c r="H52" s="9" t="s">
        <v>229</v>
      </c>
      <c r="I52" s="9" t="s">
        <v>230</v>
      </c>
      <c r="J52" s="9" t="s">
        <v>541</v>
      </c>
      <c r="K52" s="9" t="s">
        <v>588</v>
      </c>
      <c r="L52" s="9" t="s">
        <v>735</v>
      </c>
      <c r="M52" s="43"/>
    </row>
    <row r="53" customFormat="false" ht="15" hidden="false" customHeight="false" outlineLevel="0" collapsed="false">
      <c r="A53" s="8" t="s">
        <v>774</v>
      </c>
      <c r="B53" s="9" t="s">
        <v>156</v>
      </c>
      <c r="C53" s="9" t="s">
        <v>562</v>
      </c>
      <c r="D53" s="9" t="s">
        <v>9</v>
      </c>
      <c r="E53" s="9" t="s">
        <v>536</v>
      </c>
      <c r="F53" s="9" t="s">
        <v>775</v>
      </c>
      <c r="G53" s="9" t="s">
        <v>776</v>
      </c>
      <c r="H53" s="9" t="s">
        <v>229</v>
      </c>
      <c r="I53" s="9" t="s">
        <v>777</v>
      </c>
      <c r="J53" s="9" t="s">
        <v>587</v>
      </c>
      <c r="K53" s="9" t="s">
        <v>588</v>
      </c>
      <c r="L53" s="9"/>
      <c r="M53" s="43"/>
    </row>
    <row r="54" customFormat="false" ht="15" hidden="false" customHeight="false" outlineLevel="0" collapsed="false">
      <c r="A54" s="8" t="s">
        <v>778</v>
      </c>
      <c r="B54" s="9" t="s">
        <v>162</v>
      </c>
      <c r="C54" s="9" t="s">
        <v>779</v>
      </c>
      <c r="D54" s="9" t="s">
        <v>530</v>
      </c>
      <c r="E54" s="9" t="s">
        <v>536</v>
      </c>
      <c r="F54" s="9" t="s">
        <v>780</v>
      </c>
      <c r="G54" s="9" t="s">
        <v>656</v>
      </c>
      <c r="H54" s="9" t="s">
        <v>88</v>
      </c>
      <c r="I54" s="9" t="s">
        <v>37</v>
      </c>
      <c r="J54" s="9" t="s">
        <v>605</v>
      </c>
      <c r="K54" s="9" t="s">
        <v>588</v>
      </c>
      <c r="L54" s="9"/>
      <c r="M54" s="43"/>
    </row>
    <row r="55" customFormat="false" ht="23.85" hidden="false" customHeight="false" outlineLevel="0" collapsed="false">
      <c r="A55" s="8" t="s">
        <v>237</v>
      </c>
      <c r="B55" s="9" t="s">
        <v>238</v>
      </c>
      <c r="C55" s="9" t="s">
        <v>781</v>
      </c>
      <c r="D55" s="9" t="s">
        <v>782</v>
      </c>
      <c r="E55" s="9" t="s">
        <v>783</v>
      </c>
      <c r="F55" s="9" t="s">
        <v>784</v>
      </c>
      <c r="G55" s="9" t="s">
        <v>785</v>
      </c>
      <c r="H55" s="9" t="s">
        <v>586</v>
      </c>
      <c r="I55" s="9" t="s">
        <v>786</v>
      </c>
      <c r="J55" s="9" t="s">
        <v>541</v>
      </c>
      <c r="K55" s="9" t="s">
        <v>588</v>
      </c>
      <c r="L55" s="9" t="s">
        <v>735</v>
      </c>
      <c r="M55" s="43"/>
    </row>
    <row r="56" customFormat="false" ht="23.85" hidden="false" customHeight="false" outlineLevel="0" collapsed="false">
      <c r="A56" s="8" t="s">
        <v>179</v>
      </c>
      <c r="B56" s="9" t="s">
        <v>787</v>
      </c>
      <c r="C56" s="9" t="s">
        <v>555</v>
      </c>
      <c r="D56" s="9" t="s">
        <v>530</v>
      </c>
      <c r="E56" s="9" t="s">
        <v>788</v>
      </c>
      <c r="F56" s="9" t="s">
        <v>789</v>
      </c>
      <c r="G56" s="9" t="s">
        <v>468</v>
      </c>
      <c r="H56" s="9" t="s">
        <v>182</v>
      </c>
      <c r="I56" s="9" t="s">
        <v>790</v>
      </c>
      <c r="J56" s="9" t="s">
        <v>527</v>
      </c>
      <c r="K56" s="9" t="s">
        <v>588</v>
      </c>
      <c r="L56" s="9" t="s">
        <v>668</v>
      </c>
      <c r="M56" s="43"/>
    </row>
    <row r="57" customFormat="false" ht="23.85" hidden="false" customHeight="false" outlineLevel="0" collapsed="false">
      <c r="A57" s="8" t="s">
        <v>189</v>
      </c>
      <c r="B57" s="9" t="s">
        <v>791</v>
      </c>
      <c r="C57" s="9" t="s">
        <v>562</v>
      </c>
      <c r="D57" s="9" t="s">
        <v>9</v>
      </c>
      <c r="E57" s="9" t="s">
        <v>536</v>
      </c>
      <c r="F57" s="9" t="s">
        <v>792</v>
      </c>
      <c r="G57" s="9" t="s">
        <v>793</v>
      </c>
      <c r="H57" s="9" t="s">
        <v>192</v>
      </c>
      <c r="I57" s="9" t="s">
        <v>193</v>
      </c>
      <c r="J57" s="9" t="s">
        <v>527</v>
      </c>
      <c r="K57" s="9" t="s">
        <v>588</v>
      </c>
      <c r="L57" s="9" t="s">
        <v>668</v>
      </c>
      <c r="M57" s="43"/>
    </row>
    <row r="58" customFormat="false" ht="23.85" hidden="false" customHeight="false" outlineLevel="0" collapsed="false">
      <c r="A58" s="8" t="s">
        <v>794</v>
      </c>
      <c r="B58" s="9" t="s">
        <v>795</v>
      </c>
      <c r="C58" s="9" t="s">
        <v>692</v>
      </c>
      <c r="D58" s="9" t="s">
        <v>738</v>
      </c>
      <c r="E58" s="9" t="s">
        <v>536</v>
      </c>
      <c r="F58" s="9" t="s">
        <v>796</v>
      </c>
      <c r="G58" s="9" t="s">
        <v>797</v>
      </c>
      <c r="H58" s="9" t="s">
        <v>696</v>
      </c>
      <c r="I58" s="9" t="s">
        <v>798</v>
      </c>
      <c r="J58" s="9" t="s">
        <v>541</v>
      </c>
      <c r="K58" s="9" t="s">
        <v>588</v>
      </c>
      <c r="L58" s="9"/>
      <c r="M58" s="43"/>
    </row>
    <row r="59" customFormat="false" ht="15" hidden="false" customHeight="false" outlineLevel="0" collapsed="false">
      <c r="A59" s="8" t="s">
        <v>799</v>
      </c>
      <c r="B59" s="9" t="s">
        <v>238</v>
      </c>
      <c r="C59" s="9" t="s">
        <v>800</v>
      </c>
      <c r="D59" s="9" t="s">
        <v>37</v>
      </c>
      <c r="E59" s="9" t="s">
        <v>801</v>
      </c>
      <c r="F59" s="9" t="s">
        <v>802</v>
      </c>
      <c r="G59" s="9" t="s">
        <v>656</v>
      </c>
      <c r="H59" s="9" t="s">
        <v>803</v>
      </c>
      <c r="I59" s="9" t="s">
        <v>37</v>
      </c>
      <c r="J59" s="9" t="s">
        <v>587</v>
      </c>
      <c r="K59" s="9" t="s">
        <v>588</v>
      </c>
      <c r="L59" s="9"/>
      <c r="M59" s="43"/>
    </row>
    <row r="60" customFormat="false" ht="23.85" hidden="false" customHeight="false" outlineLevel="0" collapsed="false">
      <c r="A60" s="8" t="s">
        <v>804</v>
      </c>
      <c r="B60" s="9" t="s">
        <v>805</v>
      </c>
      <c r="C60" s="9" t="s">
        <v>692</v>
      </c>
      <c r="D60" s="9" t="s">
        <v>37</v>
      </c>
      <c r="E60" s="9" t="s">
        <v>806</v>
      </c>
      <c r="F60" s="9" t="s">
        <v>807</v>
      </c>
      <c r="G60" s="9" t="s">
        <v>808</v>
      </c>
      <c r="H60" s="9" t="s">
        <v>37</v>
      </c>
      <c r="I60" s="9" t="s">
        <v>809</v>
      </c>
      <c r="J60" s="9" t="s">
        <v>587</v>
      </c>
      <c r="K60" s="9" t="s">
        <v>528</v>
      </c>
      <c r="L60" s="9"/>
      <c r="M60" s="43"/>
    </row>
    <row r="61" customFormat="false" ht="15" hidden="false" customHeight="false" outlineLevel="0" collapsed="false">
      <c r="A61" s="8" t="s">
        <v>810</v>
      </c>
      <c r="B61" s="9" t="s">
        <v>238</v>
      </c>
      <c r="C61" s="9" t="s">
        <v>811</v>
      </c>
      <c r="D61" s="9" t="s">
        <v>37</v>
      </c>
      <c r="E61" s="9" t="s">
        <v>536</v>
      </c>
      <c r="F61" s="9" t="s">
        <v>812</v>
      </c>
      <c r="G61" s="9" t="s">
        <v>37</v>
      </c>
      <c r="H61" s="9" t="s">
        <v>37</v>
      </c>
      <c r="I61" s="9" t="s">
        <v>37</v>
      </c>
      <c r="J61" s="9" t="s">
        <v>605</v>
      </c>
      <c r="K61" s="9" t="s">
        <v>588</v>
      </c>
      <c r="L61" s="9"/>
      <c r="M61" s="43"/>
    </row>
    <row r="62" customFormat="false" ht="15" hidden="false" customHeight="false" outlineLevel="0" collapsed="false">
      <c r="A62" s="8" t="s">
        <v>813</v>
      </c>
      <c r="B62" s="9" t="s">
        <v>814</v>
      </c>
      <c r="C62" s="9" t="s">
        <v>815</v>
      </c>
      <c r="D62" s="9" t="s">
        <v>556</v>
      </c>
      <c r="E62" s="9" t="s">
        <v>536</v>
      </c>
      <c r="F62" s="9" t="s">
        <v>816</v>
      </c>
      <c r="G62" s="9" t="s">
        <v>817</v>
      </c>
      <c r="H62" s="9" t="s">
        <v>37</v>
      </c>
      <c r="I62" s="9" t="s">
        <v>37</v>
      </c>
      <c r="J62" s="9" t="s">
        <v>605</v>
      </c>
      <c r="K62" s="9" t="s">
        <v>588</v>
      </c>
      <c r="L62" s="9"/>
      <c r="M62" s="43"/>
    </row>
    <row r="63" customFormat="false" ht="15" hidden="false" customHeight="false" outlineLevel="0" collapsed="false">
      <c r="A63" s="8" t="s">
        <v>818</v>
      </c>
      <c r="B63" s="9" t="s">
        <v>819</v>
      </c>
      <c r="C63" s="9" t="s">
        <v>820</v>
      </c>
      <c r="D63" s="9" t="s">
        <v>530</v>
      </c>
      <c r="E63" s="9" t="s">
        <v>536</v>
      </c>
      <c r="F63" s="9" t="s">
        <v>821</v>
      </c>
      <c r="G63" s="9" t="s">
        <v>822</v>
      </c>
      <c r="H63" s="9" t="s">
        <v>823</v>
      </c>
      <c r="I63" s="9" t="s">
        <v>37</v>
      </c>
      <c r="J63" s="9" t="s">
        <v>605</v>
      </c>
      <c r="K63" s="9" t="s">
        <v>528</v>
      </c>
      <c r="L63" s="9"/>
      <c r="M63" s="43"/>
    </row>
    <row r="64" customFormat="false" ht="23.85" hidden="false" customHeight="false" outlineLevel="0" collapsed="false">
      <c r="A64" s="8" t="s">
        <v>824</v>
      </c>
      <c r="B64" s="9" t="s">
        <v>825</v>
      </c>
      <c r="C64" s="9" t="s">
        <v>826</v>
      </c>
      <c r="D64" s="9" t="s">
        <v>37</v>
      </c>
      <c r="E64" s="9" t="s">
        <v>827</v>
      </c>
      <c r="F64" s="9" t="s">
        <v>828</v>
      </c>
      <c r="G64" s="9" t="s">
        <v>829</v>
      </c>
      <c r="H64" s="9" t="s">
        <v>37</v>
      </c>
      <c r="I64" s="9" t="s">
        <v>37</v>
      </c>
      <c r="J64" s="9" t="s">
        <v>830</v>
      </c>
      <c r="K64" s="9" t="s">
        <v>588</v>
      </c>
      <c r="L64" s="9" t="s">
        <v>831</v>
      </c>
      <c r="M64" s="43"/>
    </row>
    <row r="65" customFormat="false" ht="23.85" hidden="false" customHeight="false" outlineLevel="0" collapsed="false">
      <c r="A65" s="8" t="s">
        <v>832</v>
      </c>
      <c r="B65" s="9" t="s">
        <v>833</v>
      </c>
      <c r="C65" s="9" t="s">
        <v>562</v>
      </c>
      <c r="D65" s="9" t="s">
        <v>9</v>
      </c>
      <c r="E65" s="9" t="s">
        <v>834</v>
      </c>
      <c r="F65" s="9" t="s">
        <v>835</v>
      </c>
      <c r="G65" s="9" t="s">
        <v>836</v>
      </c>
      <c r="H65" s="9" t="s">
        <v>837</v>
      </c>
      <c r="I65" s="9" t="s">
        <v>838</v>
      </c>
      <c r="J65" s="9" t="s">
        <v>527</v>
      </c>
      <c r="K65" s="9" t="s">
        <v>528</v>
      </c>
      <c r="L65" s="9" t="s">
        <v>839</v>
      </c>
      <c r="M65" s="43"/>
    </row>
    <row r="66" customFormat="false" ht="35.05" hidden="false" customHeight="false" outlineLevel="0" collapsed="false">
      <c r="A66" s="8" t="s">
        <v>184</v>
      </c>
      <c r="B66" s="9" t="s">
        <v>185</v>
      </c>
      <c r="C66" s="9" t="s">
        <v>186</v>
      </c>
      <c r="D66" s="9" t="s">
        <v>556</v>
      </c>
      <c r="E66" s="9" t="s">
        <v>536</v>
      </c>
      <c r="F66" s="9" t="s">
        <v>840</v>
      </c>
      <c r="G66" s="9" t="s">
        <v>841</v>
      </c>
      <c r="H66" s="9" t="s">
        <v>182</v>
      </c>
      <c r="I66" s="9" t="s">
        <v>842</v>
      </c>
      <c r="J66" s="9" t="s">
        <v>527</v>
      </c>
      <c r="K66" s="9" t="s">
        <v>588</v>
      </c>
      <c r="L66" s="9" t="s">
        <v>668</v>
      </c>
      <c r="M66" s="43"/>
    </row>
    <row r="67" customFormat="false" ht="15" hidden="false" customHeight="false" outlineLevel="0" collapsed="false">
      <c r="A67" s="8" t="s">
        <v>843</v>
      </c>
      <c r="B67" s="9" t="s">
        <v>185</v>
      </c>
      <c r="C67" s="9" t="s">
        <v>844</v>
      </c>
      <c r="D67" s="9" t="s">
        <v>530</v>
      </c>
      <c r="E67" s="9" t="s">
        <v>845</v>
      </c>
      <c r="F67" s="9" t="s">
        <v>846</v>
      </c>
      <c r="G67" s="9" t="s">
        <v>847</v>
      </c>
      <c r="H67" s="9" t="s">
        <v>848</v>
      </c>
      <c r="I67" s="9" t="s">
        <v>849</v>
      </c>
      <c r="J67" s="9" t="s">
        <v>541</v>
      </c>
      <c r="K67" s="9" t="s">
        <v>528</v>
      </c>
      <c r="L67" s="9" t="s">
        <v>809</v>
      </c>
      <c r="M67" s="43"/>
    </row>
    <row r="68" customFormat="false" ht="15" hidden="false" customHeight="false" outlineLevel="0" collapsed="false">
      <c r="A68" s="8" t="s">
        <v>850</v>
      </c>
      <c r="B68" s="9" t="s">
        <v>851</v>
      </c>
      <c r="C68" s="9" t="s">
        <v>692</v>
      </c>
      <c r="D68" s="9" t="s">
        <v>556</v>
      </c>
      <c r="E68" s="9" t="s">
        <v>852</v>
      </c>
      <c r="F68" s="9" t="s">
        <v>853</v>
      </c>
      <c r="G68" s="9" t="s">
        <v>797</v>
      </c>
      <c r="H68" s="9" t="s">
        <v>696</v>
      </c>
      <c r="I68" s="9" t="s">
        <v>854</v>
      </c>
      <c r="J68" s="9" t="s">
        <v>587</v>
      </c>
      <c r="K68" s="9" t="s">
        <v>588</v>
      </c>
      <c r="L68" s="9"/>
      <c r="M68" s="43"/>
    </row>
    <row r="69" customFormat="false" ht="15" hidden="false" customHeight="false" outlineLevel="0" collapsed="false">
      <c r="A69" s="8" t="s">
        <v>855</v>
      </c>
      <c r="B69" s="9" t="s">
        <v>856</v>
      </c>
      <c r="C69" s="9" t="s">
        <v>650</v>
      </c>
      <c r="D69" s="9" t="s">
        <v>857</v>
      </c>
      <c r="E69" s="9" t="s">
        <v>858</v>
      </c>
      <c r="F69" s="9" t="s">
        <v>859</v>
      </c>
      <c r="G69" s="9" t="s">
        <v>860</v>
      </c>
      <c r="H69" s="9" t="s">
        <v>37</v>
      </c>
      <c r="I69" s="9" t="s">
        <v>37</v>
      </c>
      <c r="J69" s="9" t="s">
        <v>587</v>
      </c>
      <c r="K69" s="9" t="s">
        <v>588</v>
      </c>
      <c r="L69" s="9"/>
      <c r="M69" s="43"/>
    </row>
    <row r="70" customFormat="false" ht="23.85" hidden="false" customHeight="false" outlineLevel="0" collapsed="false">
      <c r="A70" s="8" t="s">
        <v>861</v>
      </c>
      <c r="B70" s="9" t="s">
        <v>862</v>
      </c>
      <c r="C70" s="9" t="s">
        <v>692</v>
      </c>
      <c r="D70" s="9" t="s">
        <v>863</v>
      </c>
      <c r="E70" s="9" t="s">
        <v>536</v>
      </c>
      <c r="F70" s="9" t="s">
        <v>864</v>
      </c>
      <c r="G70" s="9" t="s">
        <v>865</v>
      </c>
      <c r="H70" s="9" t="s">
        <v>88</v>
      </c>
      <c r="I70" s="9" t="s">
        <v>866</v>
      </c>
      <c r="J70" s="9" t="s">
        <v>587</v>
      </c>
      <c r="K70" s="9" t="s">
        <v>588</v>
      </c>
      <c r="L70" s="9"/>
      <c r="M70" s="43"/>
    </row>
    <row r="71" customFormat="false" ht="15" hidden="false" customHeight="false" outlineLevel="0" collapsed="false">
      <c r="A71" s="8" t="s">
        <v>867</v>
      </c>
      <c r="B71" s="9" t="s">
        <v>862</v>
      </c>
      <c r="C71" s="9" t="s">
        <v>868</v>
      </c>
      <c r="D71" s="9" t="s">
        <v>556</v>
      </c>
      <c r="E71" s="9" t="s">
        <v>536</v>
      </c>
      <c r="F71" s="9" t="s">
        <v>869</v>
      </c>
      <c r="G71" s="9" t="s">
        <v>37</v>
      </c>
      <c r="H71" s="9" t="s">
        <v>37</v>
      </c>
      <c r="I71" s="9" t="s">
        <v>37</v>
      </c>
      <c r="J71" s="9" t="s">
        <v>587</v>
      </c>
      <c r="K71" s="9" t="s">
        <v>588</v>
      </c>
      <c r="L71" s="9"/>
      <c r="M71" s="43"/>
    </row>
    <row r="72" customFormat="false" ht="15" hidden="false" customHeight="false" outlineLevel="0" collapsed="false">
      <c r="A72" s="8" t="s">
        <v>870</v>
      </c>
      <c r="B72" s="9" t="s">
        <v>862</v>
      </c>
      <c r="C72" s="9" t="s">
        <v>815</v>
      </c>
      <c r="D72" s="9" t="s">
        <v>556</v>
      </c>
      <c r="E72" s="9" t="s">
        <v>536</v>
      </c>
      <c r="F72" s="9" t="s">
        <v>871</v>
      </c>
      <c r="G72" s="9" t="s">
        <v>872</v>
      </c>
      <c r="H72" s="9" t="s">
        <v>37</v>
      </c>
      <c r="I72" s="9" t="s">
        <v>37</v>
      </c>
      <c r="J72" s="9" t="s">
        <v>605</v>
      </c>
      <c r="K72" s="9" t="s">
        <v>588</v>
      </c>
      <c r="L72" s="9"/>
      <c r="M72" s="43"/>
    </row>
    <row r="73" customFormat="false" ht="15" hidden="false" customHeight="false" outlineLevel="0" collapsed="false">
      <c r="A73" s="8" t="s">
        <v>873</v>
      </c>
      <c r="B73" s="9" t="s">
        <v>862</v>
      </c>
      <c r="C73" s="9" t="s">
        <v>874</v>
      </c>
      <c r="D73" s="9" t="s">
        <v>37</v>
      </c>
      <c r="E73" s="9" t="s">
        <v>536</v>
      </c>
      <c r="F73" s="9" t="s">
        <v>875</v>
      </c>
      <c r="G73" s="9" t="s">
        <v>37</v>
      </c>
      <c r="H73" s="9" t="s">
        <v>37</v>
      </c>
      <c r="I73" s="9" t="s">
        <v>37</v>
      </c>
      <c r="J73" s="9" t="s">
        <v>605</v>
      </c>
      <c r="K73" s="9" t="s">
        <v>588</v>
      </c>
      <c r="L73" s="9"/>
      <c r="M73" s="43"/>
    </row>
    <row r="74" customFormat="false" ht="23.85" hidden="false" customHeight="false" outlineLevel="0" collapsed="false">
      <c r="A74" s="8" t="s">
        <v>876</v>
      </c>
      <c r="B74" s="9" t="s">
        <v>877</v>
      </c>
      <c r="C74" s="9" t="s">
        <v>878</v>
      </c>
      <c r="D74" s="9" t="s">
        <v>37</v>
      </c>
      <c r="E74" s="9" t="s">
        <v>879</v>
      </c>
      <c r="F74" s="9" t="s">
        <v>880</v>
      </c>
      <c r="G74" s="9" t="s">
        <v>37</v>
      </c>
      <c r="H74" s="9" t="s">
        <v>37</v>
      </c>
      <c r="I74" s="9" t="s">
        <v>37</v>
      </c>
      <c r="J74" s="9" t="s">
        <v>605</v>
      </c>
      <c r="K74" s="9" t="s">
        <v>588</v>
      </c>
      <c r="L74" s="9"/>
      <c r="M74" s="43"/>
    </row>
    <row r="75" customFormat="false" ht="15" hidden="false" customHeight="false" outlineLevel="0" collapsed="false">
      <c r="A75" s="8" t="s">
        <v>881</v>
      </c>
      <c r="B75" s="9" t="s">
        <v>882</v>
      </c>
      <c r="C75" s="9" t="s">
        <v>562</v>
      </c>
      <c r="D75" s="9" t="s">
        <v>9</v>
      </c>
      <c r="E75" s="9" t="s">
        <v>883</v>
      </c>
      <c r="F75" s="9" t="s">
        <v>884</v>
      </c>
      <c r="G75" s="9" t="s">
        <v>885</v>
      </c>
      <c r="H75" s="9" t="s">
        <v>886</v>
      </c>
      <c r="I75" s="9" t="s">
        <v>37</v>
      </c>
      <c r="J75" s="9" t="s">
        <v>605</v>
      </c>
      <c r="K75" s="9" t="s">
        <v>588</v>
      </c>
      <c r="L75" s="9"/>
      <c r="M75" s="43"/>
    </row>
    <row r="76" customFormat="false" ht="15" hidden="false" customHeight="false" outlineLevel="0" collapsed="false">
      <c r="A76" s="8" t="s">
        <v>887</v>
      </c>
      <c r="B76" s="9" t="s">
        <v>882</v>
      </c>
      <c r="C76" s="9" t="s">
        <v>692</v>
      </c>
      <c r="D76" s="9" t="s">
        <v>530</v>
      </c>
      <c r="E76" s="9" t="s">
        <v>888</v>
      </c>
      <c r="F76" s="9" t="s">
        <v>889</v>
      </c>
      <c r="G76" s="9" t="s">
        <v>890</v>
      </c>
      <c r="H76" s="9" t="s">
        <v>696</v>
      </c>
      <c r="I76" s="9" t="s">
        <v>37</v>
      </c>
      <c r="J76" s="9" t="s">
        <v>605</v>
      </c>
      <c r="K76" s="9" t="s">
        <v>588</v>
      </c>
      <c r="L76" s="9"/>
      <c r="M76" s="43"/>
    </row>
    <row r="77" customFormat="false" ht="15" hidden="false" customHeight="false" outlineLevel="0" collapsed="false">
      <c r="A77" s="8" t="s">
        <v>891</v>
      </c>
      <c r="B77" s="9" t="s">
        <v>892</v>
      </c>
      <c r="C77" s="9" t="s">
        <v>692</v>
      </c>
      <c r="D77" s="9" t="s">
        <v>530</v>
      </c>
      <c r="E77" s="9" t="s">
        <v>893</v>
      </c>
      <c r="F77" s="9" t="s">
        <v>894</v>
      </c>
      <c r="G77" s="9" t="s">
        <v>895</v>
      </c>
      <c r="H77" s="9" t="s">
        <v>696</v>
      </c>
      <c r="I77" s="9" t="s">
        <v>896</v>
      </c>
      <c r="J77" s="9" t="s">
        <v>605</v>
      </c>
      <c r="K77" s="9" t="s">
        <v>588</v>
      </c>
      <c r="L77" s="9"/>
      <c r="M77" s="43"/>
    </row>
    <row r="78" customFormat="false" ht="15" hidden="false" customHeight="false" outlineLevel="0" collapsed="false">
      <c r="A78" s="8" t="s">
        <v>897</v>
      </c>
      <c r="B78" s="9" t="s">
        <v>862</v>
      </c>
      <c r="C78" s="9" t="s">
        <v>562</v>
      </c>
      <c r="D78" s="9" t="s">
        <v>9</v>
      </c>
      <c r="E78" s="9" t="s">
        <v>898</v>
      </c>
      <c r="F78" s="9" t="s">
        <v>899</v>
      </c>
      <c r="G78" s="9" t="s">
        <v>900</v>
      </c>
      <c r="H78" s="9" t="s">
        <v>37</v>
      </c>
      <c r="I78" s="9" t="s">
        <v>37</v>
      </c>
      <c r="J78" s="9" t="s">
        <v>605</v>
      </c>
      <c r="K78" s="9" t="s">
        <v>588</v>
      </c>
      <c r="L78" s="9"/>
      <c r="M78" s="43"/>
    </row>
    <row r="79" customFormat="false" ht="15" hidden="false" customHeight="false" outlineLevel="0" collapsed="false">
      <c r="A79" s="8" t="s">
        <v>901</v>
      </c>
      <c r="B79" s="9" t="s">
        <v>862</v>
      </c>
      <c r="C79" s="9" t="s">
        <v>195</v>
      </c>
      <c r="D79" s="9" t="s">
        <v>902</v>
      </c>
      <c r="E79" s="9" t="s">
        <v>536</v>
      </c>
      <c r="F79" s="9" t="s">
        <v>903</v>
      </c>
      <c r="G79" s="9" t="s">
        <v>904</v>
      </c>
      <c r="H79" s="9" t="s">
        <v>37</v>
      </c>
      <c r="I79" s="9" t="s">
        <v>37</v>
      </c>
      <c r="J79" s="9" t="s">
        <v>605</v>
      </c>
      <c r="K79" s="9" t="s">
        <v>588</v>
      </c>
      <c r="L79" s="9"/>
      <c r="M79" s="43"/>
    </row>
    <row r="80" customFormat="false" ht="15" hidden="false" customHeight="false" outlineLevel="0" collapsed="false">
      <c r="A80" s="8" t="s">
        <v>905</v>
      </c>
      <c r="B80" s="9" t="s">
        <v>906</v>
      </c>
      <c r="C80" s="9" t="s">
        <v>907</v>
      </c>
      <c r="D80" s="9" t="s">
        <v>908</v>
      </c>
      <c r="E80" s="9" t="s">
        <v>909</v>
      </c>
      <c r="F80" s="9" t="s">
        <v>910</v>
      </c>
      <c r="G80" s="9" t="s">
        <v>656</v>
      </c>
      <c r="H80" s="9" t="s">
        <v>88</v>
      </c>
      <c r="I80" s="9" t="s">
        <v>911</v>
      </c>
      <c r="J80" s="9" t="s">
        <v>587</v>
      </c>
      <c r="K80" s="9" t="s">
        <v>588</v>
      </c>
      <c r="L80" s="9"/>
      <c r="M80" s="43"/>
    </row>
    <row r="81" customFormat="false" ht="15" hidden="false" customHeight="false" outlineLevel="0" collapsed="false">
      <c r="A81" s="8" t="s">
        <v>219</v>
      </c>
      <c r="B81" s="9" t="s">
        <v>912</v>
      </c>
      <c r="C81" s="9" t="s">
        <v>562</v>
      </c>
      <c r="D81" s="9" t="s">
        <v>9</v>
      </c>
      <c r="E81" s="9" t="s">
        <v>536</v>
      </c>
      <c r="F81" s="9" t="s">
        <v>913</v>
      </c>
      <c r="G81" s="9" t="s">
        <v>914</v>
      </c>
      <c r="H81" s="9" t="s">
        <v>553</v>
      </c>
      <c r="I81" s="9" t="s">
        <v>915</v>
      </c>
      <c r="J81" s="9" t="s">
        <v>541</v>
      </c>
      <c r="K81" s="9" t="s">
        <v>588</v>
      </c>
      <c r="L81" s="9" t="s">
        <v>735</v>
      </c>
      <c r="M81" s="43"/>
    </row>
    <row r="82" customFormat="false" ht="15" hidden="false" customHeight="false" outlineLevel="0" collapsed="false">
      <c r="A82" s="8" t="s">
        <v>916</v>
      </c>
      <c r="B82" s="9" t="s">
        <v>912</v>
      </c>
      <c r="C82" s="9" t="s">
        <v>555</v>
      </c>
      <c r="D82" s="9" t="s">
        <v>522</v>
      </c>
      <c r="E82" s="9" t="s">
        <v>536</v>
      </c>
      <c r="F82" s="9" t="s">
        <v>917</v>
      </c>
      <c r="G82" s="9" t="s">
        <v>918</v>
      </c>
      <c r="H82" s="9" t="s">
        <v>586</v>
      </c>
      <c r="I82" s="9" t="s">
        <v>37</v>
      </c>
      <c r="J82" s="9" t="s">
        <v>587</v>
      </c>
      <c r="K82" s="9" t="s">
        <v>588</v>
      </c>
      <c r="L82" s="9"/>
      <c r="M82" s="43"/>
    </row>
    <row r="83" customFormat="false" ht="15" hidden="false" customHeight="false" outlineLevel="0" collapsed="false">
      <c r="A83" s="8" t="s">
        <v>919</v>
      </c>
      <c r="B83" s="9" t="s">
        <v>912</v>
      </c>
      <c r="C83" s="9" t="s">
        <v>692</v>
      </c>
      <c r="D83" s="9" t="s">
        <v>556</v>
      </c>
      <c r="E83" s="9" t="s">
        <v>536</v>
      </c>
      <c r="F83" s="9" t="s">
        <v>920</v>
      </c>
      <c r="G83" s="9" t="s">
        <v>114</v>
      </c>
      <c r="H83" s="9" t="s">
        <v>696</v>
      </c>
      <c r="I83" s="9" t="s">
        <v>37</v>
      </c>
      <c r="J83" s="9" t="s">
        <v>587</v>
      </c>
      <c r="K83" s="9" t="s">
        <v>588</v>
      </c>
      <c r="L83" s="9"/>
      <c r="M83" s="43"/>
    </row>
    <row r="84" customFormat="false" ht="23.85" hidden="false" customHeight="false" outlineLevel="0" collapsed="false">
      <c r="A84" s="8" t="s">
        <v>921</v>
      </c>
      <c r="B84" s="9" t="s">
        <v>922</v>
      </c>
      <c r="C84" s="9" t="s">
        <v>923</v>
      </c>
      <c r="D84" s="9" t="s">
        <v>530</v>
      </c>
      <c r="E84" s="9" t="s">
        <v>536</v>
      </c>
      <c r="F84" s="9" t="s">
        <v>924</v>
      </c>
      <c r="G84" s="9" t="s">
        <v>925</v>
      </c>
      <c r="H84" s="9" t="s">
        <v>88</v>
      </c>
      <c r="I84" s="9" t="s">
        <v>926</v>
      </c>
      <c r="J84" s="9" t="s">
        <v>587</v>
      </c>
      <c r="K84" s="9" t="s">
        <v>588</v>
      </c>
      <c r="L84" s="9"/>
      <c r="M84" s="43"/>
    </row>
    <row r="85" customFormat="false" ht="15" hidden="false" customHeight="false" outlineLevel="0" collapsed="false">
      <c r="A85" s="8" t="s">
        <v>927</v>
      </c>
      <c r="B85" s="9" t="s">
        <v>928</v>
      </c>
      <c r="C85" s="9" t="s">
        <v>583</v>
      </c>
      <c r="D85" s="9" t="s">
        <v>37</v>
      </c>
      <c r="E85" s="9" t="s">
        <v>536</v>
      </c>
      <c r="F85" s="9" t="s">
        <v>929</v>
      </c>
      <c r="G85" s="9" t="s">
        <v>37</v>
      </c>
      <c r="H85" s="9" t="s">
        <v>37</v>
      </c>
      <c r="I85" s="9" t="s">
        <v>37</v>
      </c>
      <c r="J85" s="9" t="s">
        <v>605</v>
      </c>
      <c r="K85" s="9" t="s">
        <v>588</v>
      </c>
      <c r="L85" s="9"/>
      <c r="M85" s="43"/>
    </row>
    <row r="86" customFormat="false" ht="15" hidden="false" customHeight="false" outlineLevel="0" collapsed="false">
      <c r="A86" s="8" t="s">
        <v>930</v>
      </c>
      <c r="B86" s="9" t="s">
        <v>931</v>
      </c>
      <c r="C86" s="9" t="s">
        <v>562</v>
      </c>
      <c r="D86" s="9" t="s">
        <v>9</v>
      </c>
      <c r="E86" s="9" t="s">
        <v>536</v>
      </c>
      <c r="F86" s="9" t="s">
        <v>932</v>
      </c>
      <c r="G86" s="9" t="s">
        <v>933</v>
      </c>
      <c r="H86" s="9" t="s">
        <v>88</v>
      </c>
      <c r="I86" s="9" t="s">
        <v>934</v>
      </c>
      <c r="J86" s="9" t="s">
        <v>605</v>
      </c>
      <c r="K86" s="9" t="s">
        <v>588</v>
      </c>
      <c r="L86" s="9"/>
      <c r="M86" s="43"/>
    </row>
    <row r="87" customFormat="false" ht="15" hidden="false" customHeight="false" outlineLevel="0" collapsed="false">
      <c r="A87" s="8" t="s">
        <v>935</v>
      </c>
      <c r="B87" s="9" t="s">
        <v>936</v>
      </c>
      <c r="C87" s="9" t="s">
        <v>562</v>
      </c>
      <c r="D87" s="9" t="s">
        <v>937</v>
      </c>
      <c r="E87" s="9" t="s">
        <v>536</v>
      </c>
      <c r="F87" s="9" t="s">
        <v>938</v>
      </c>
      <c r="G87" s="9" t="s">
        <v>37</v>
      </c>
      <c r="H87" s="9" t="s">
        <v>37</v>
      </c>
      <c r="I87" s="9" t="s">
        <v>37</v>
      </c>
      <c r="J87" s="9" t="s">
        <v>605</v>
      </c>
      <c r="K87" s="9" t="s">
        <v>588</v>
      </c>
      <c r="L87" s="9"/>
      <c r="M87" s="43"/>
    </row>
    <row r="88" customFormat="false" ht="15" hidden="false" customHeight="false" outlineLevel="0" collapsed="false">
      <c r="A88" s="8" t="s">
        <v>939</v>
      </c>
      <c r="B88" s="9" t="s">
        <v>922</v>
      </c>
      <c r="C88" s="9" t="s">
        <v>692</v>
      </c>
      <c r="D88" s="9" t="s">
        <v>37</v>
      </c>
      <c r="E88" s="9" t="s">
        <v>536</v>
      </c>
      <c r="F88" s="9" t="s">
        <v>940</v>
      </c>
      <c r="G88" s="9" t="s">
        <v>114</v>
      </c>
      <c r="H88" s="9" t="s">
        <v>37</v>
      </c>
      <c r="I88" s="9" t="s">
        <v>941</v>
      </c>
      <c r="J88" s="9" t="s">
        <v>605</v>
      </c>
      <c r="K88" s="9" t="s">
        <v>588</v>
      </c>
      <c r="L88" s="9"/>
      <c r="M88" s="43"/>
    </row>
    <row r="89" customFormat="false" ht="23.85" hidden="false" customHeight="false" outlineLevel="0" collapsed="false">
      <c r="A89" s="8" t="s">
        <v>214</v>
      </c>
      <c r="B89" s="9" t="s">
        <v>215</v>
      </c>
      <c r="C89" s="9" t="s">
        <v>562</v>
      </c>
      <c r="D89" s="9" t="s">
        <v>9</v>
      </c>
      <c r="E89" s="9" t="s">
        <v>942</v>
      </c>
      <c r="F89" s="9" t="s">
        <v>943</v>
      </c>
      <c r="G89" s="9" t="s">
        <v>944</v>
      </c>
      <c r="H89" s="9" t="s">
        <v>945</v>
      </c>
      <c r="I89" s="9" t="s">
        <v>946</v>
      </c>
      <c r="J89" s="9" t="s">
        <v>527</v>
      </c>
      <c r="K89" s="9" t="s">
        <v>588</v>
      </c>
      <c r="L89" s="9" t="s">
        <v>735</v>
      </c>
      <c r="M89" s="43"/>
    </row>
    <row r="90" customFormat="false" ht="15" hidden="false" customHeight="false" outlineLevel="0" collapsed="false">
      <c r="A90" s="8" t="s">
        <v>947</v>
      </c>
      <c r="B90" s="9" t="s">
        <v>948</v>
      </c>
      <c r="C90" s="9" t="s">
        <v>949</v>
      </c>
      <c r="D90" s="9" t="s">
        <v>530</v>
      </c>
      <c r="E90" s="9" t="s">
        <v>536</v>
      </c>
      <c r="F90" s="9" t="s">
        <v>950</v>
      </c>
      <c r="G90" s="9" t="s">
        <v>619</v>
      </c>
      <c r="H90" s="9" t="s">
        <v>951</v>
      </c>
      <c r="I90" s="9" t="s">
        <v>37</v>
      </c>
      <c r="J90" s="9" t="s">
        <v>541</v>
      </c>
      <c r="K90" s="9" t="s">
        <v>588</v>
      </c>
      <c r="L90" s="9"/>
      <c r="M90" s="43"/>
    </row>
    <row r="91" customFormat="false" ht="23.85" hidden="false" customHeight="false" outlineLevel="0" collapsed="false">
      <c r="A91" s="8" t="s">
        <v>952</v>
      </c>
      <c r="B91" s="9" t="s">
        <v>215</v>
      </c>
      <c r="C91" s="9" t="s">
        <v>953</v>
      </c>
      <c r="D91" s="9" t="s">
        <v>954</v>
      </c>
      <c r="E91" s="9" t="s">
        <v>955</v>
      </c>
      <c r="F91" s="9" t="s">
        <v>956</v>
      </c>
      <c r="G91" s="9" t="s">
        <v>957</v>
      </c>
      <c r="H91" s="9" t="s">
        <v>586</v>
      </c>
      <c r="I91" s="9" t="s">
        <v>958</v>
      </c>
      <c r="J91" s="9" t="s">
        <v>587</v>
      </c>
      <c r="K91" s="9" t="s">
        <v>588</v>
      </c>
      <c r="L91" s="9"/>
      <c r="M91" s="43"/>
    </row>
    <row r="92" customFormat="false" ht="23.85" hidden="false" customHeight="false" outlineLevel="0" collapsed="false">
      <c r="A92" s="8" t="s">
        <v>959</v>
      </c>
      <c r="B92" s="9" t="s">
        <v>215</v>
      </c>
      <c r="C92" s="9" t="s">
        <v>555</v>
      </c>
      <c r="D92" s="9" t="s">
        <v>738</v>
      </c>
      <c r="E92" s="9" t="s">
        <v>536</v>
      </c>
      <c r="F92" s="9" t="s">
        <v>960</v>
      </c>
      <c r="G92" s="9" t="s">
        <v>961</v>
      </c>
      <c r="H92" s="9" t="s">
        <v>962</v>
      </c>
      <c r="I92" s="9" t="s">
        <v>963</v>
      </c>
      <c r="J92" s="9" t="s">
        <v>527</v>
      </c>
      <c r="K92" s="9" t="s">
        <v>588</v>
      </c>
      <c r="L92" s="9" t="s">
        <v>964</v>
      </c>
      <c r="M92" s="43"/>
    </row>
    <row r="93" customFormat="false" ht="23.85" hidden="false" customHeight="false" outlineLevel="0" collapsed="false">
      <c r="A93" s="8" t="s">
        <v>231</v>
      </c>
      <c r="B93" s="9" t="s">
        <v>232</v>
      </c>
      <c r="C93" s="9" t="s">
        <v>965</v>
      </c>
      <c r="D93" s="9" t="s">
        <v>693</v>
      </c>
      <c r="E93" s="9" t="s">
        <v>966</v>
      </c>
      <c r="F93" s="9" t="s">
        <v>967</v>
      </c>
      <c r="G93" s="9" t="s">
        <v>968</v>
      </c>
      <c r="H93" s="9" t="s">
        <v>969</v>
      </c>
      <c r="I93" s="9" t="s">
        <v>503</v>
      </c>
      <c r="J93" s="9" t="s">
        <v>541</v>
      </c>
      <c r="K93" s="9" t="s">
        <v>588</v>
      </c>
      <c r="L93" s="9" t="s">
        <v>735</v>
      </c>
      <c r="M93" s="43"/>
    </row>
    <row r="94" customFormat="false" ht="15" hidden="false" customHeight="false" outlineLevel="0" collapsed="false">
      <c r="A94" s="8" t="s">
        <v>970</v>
      </c>
      <c r="B94" s="9" t="s">
        <v>215</v>
      </c>
      <c r="C94" s="9" t="s">
        <v>800</v>
      </c>
      <c r="D94" s="9" t="s">
        <v>556</v>
      </c>
      <c r="E94" s="9" t="s">
        <v>971</v>
      </c>
      <c r="F94" s="9" t="s">
        <v>972</v>
      </c>
      <c r="G94" s="9" t="s">
        <v>973</v>
      </c>
      <c r="H94" s="9" t="s">
        <v>696</v>
      </c>
      <c r="I94" s="9" t="s">
        <v>974</v>
      </c>
      <c r="J94" s="9" t="s">
        <v>541</v>
      </c>
      <c r="K94" s="9" t="s">
        <v>588</v>
      </c>
      <c r="L94" s="9"/>
      <c r="M94" s="43"/>
    </row>
    <row r="95" customFormat="false" ht="15" hidden="false" customHeight="false" outlineLevel="0" collapsed="false">
      <c r="A95" s="8" t="s">
        <v>975</v>
      </c>
      <c r="B95" s="9" t="s">
        <v>215</v>
      </c>
      <c r="C95" s="9" t="s">
        <v>562</v>
      </c>
      <c r="D95" s="9" t="s">
        <v>9</v>
      </c>
      <c r="E95" s="9" t="s">
        <v>976</v>
      </c>
      <c r="F95" s="9" t="s">
        <v>977</v>
      </c>
      <c r="G95" s="9" t="s">
        <v>978</v>
      </c>
      <c r="H95" s="9" t="s">
        <v>979</v>
      </c>
      <c r="I95" s="9" t="s">
        <v>980</v>
      </c>
      <c r="J95" s="9" t="s">
        <v>587</v>
      </c>
      <c r="K95" s="9" t="s">
        <v>588</v>
      </c>
      <c r="L95" s="9"/>
      <c r="M95" s="43"/>
    </row>
    <row r="96" customFormat="false" ht="15" hidden="false" customHeight="false" outlineLevel="0" collapsed="false">
      <c r="A96" s="8" t="s">
        <v>981</v>
      </c>
      <c r="B96" s="9" t="s">
        <v>215</v>
      </c>
      <c r="C96" s="9" t="s">
        <v>562</v>
      </c>
      <c r="D96" s="9" t="s">
        <v>9</v>
      </c>
      <c r="E96" s="9" t="s">
        <v>536</v>
      </c>
      <c r="F96" s="9" t="s">
        <v>982</v>
      </c>
      <c r="G96" s="9" t="s">
        <v>983</v>
      </c>
      <c r="H96" s="9" t="s">
        <v>984</v>
      </c>
      <c r="I96" s="9" t="s">
        <v>985</v>
      </c>
      <c r="J96" s="9" t="s">
        <v>541</v>
      </c>
      <c r="K96" s="9" t="s">
        <v>528</v>
      </c>
      <c r="L96" s="9" t="s">
        <v>986</v>
      </c>
      <c r="M96" s="43"/>
    </row>
    <row r="97" customFormat="false" ht="23.85" hidden="false" customHeight="false" outlineLevel="0" collapsed="false">
      <c r="A97" s="8" t="s">
        <v>987</v>
      </c>
      <c r="B97" s="9" t="s">
        <v>215</v>
      </c>
      <c r="C97" s="9" t="s">
        <v>186</v>
      </c>
      <c r="D97" s="9" t="s">
        <v>530</v>
      </c>
      <c r="E97" s="9" t="s">
        <v>988</v>
      </c>
      <c r="F97" s="9" t="s">
        <v>989</v>
      </c>
      <c r="G97" s="9" t="s">
        <v>990</v>
      </c>
      <c r="H97" s="9" t="s">
        <v>991</v>
      </c>
      <c r="I97" s="9" t="s">
        <v>992</v>
      </c>
      <c r="J97" s="9" t="s">
        <v>587</v>
      </c>
      <c r="K97" s="9" t="s">
        <v>588</v>
      </c>
      <c r="L97" s="9"/>
      <c r="M97" s="43"/>
    </row>
    <row r="98" customFormat="false" ht="15" hidden="false" customHeight="false" outlineLevel="0" collapsed="false">
      <c r="A98" s="8" t="s">
        <v>993</v>
      </c>
      <c r="B98" s="9" t="s">
        <v>994</v>
      </c>
      <c r="C98" s="9" t="s">
        <v>995</v>
      </c>
      <c r="D98" s="9" t="s">
        <v>37</v>
      </c>
      <c r="E98" s="9" t="s">
        <v>536</v>
      </c>
      <c r="F98" s="9" t="s">
        <v>996</v>
      </c>
      <c r="G98" s="9" t="s">
        <v>37</v>
      </c>
      <c r="H98" s="9" t="s">
        <v>37</v>
      </c>
      <c r="I98" s="9" t="s">
        <v>37</v>
      </c>
      <c r="J98" s="9" t="s">
        <v>605</v>
      </c>
      <c r="K98" s="9" t="s">
        <v>588</v>
      </c>
      <c r="L98" s="9"/>
      <c r="M98" s="43"/>
    </row>
    <row r="99" customFormat="false" ht="15" hidden="false" customHeight="false" outlineLevel="0" collapsed="false">
      <c r="A99" s="8" t="s">
        <v>997</v>
      </c>
      <c r="B99" s="9" t="s">
        <v>215</v>
      </c>
      <c r="C99" s="9" t="s">
        <v>601</v>
      </c>
      <c r="D99" s="9" t="s">
        <v>37</v>
      </c>
      <c r="E99" s="9" t="s">
        <v>536</v>
      </c>
      <c r="F99" s="9" t="s">
        <v>998</v>
      </c>
      <c r="G99" s="9" t="s">
        <v>656</v>
      </c>
      <c r="H99" s="9" t="s">
        <v>37</v>
      </c>
      <c r="I99" s="9" t="s">
        <v>999</v>
      </c>
      <c r="J99" s="9" t="s">
        <v>605</v>
      </c>
      <c r="K99" s="9" t="s">
        <v>588</v>
      </c>
      <c r="L99" s="9"/>
      <c r="M99" s="43"/>
    </row>
    <row r="100" customFormat="false" ht="23.85" hidden="false" customHeight="false" outlineLevel="0" collapsed="false">
      <c r="A100" s="8" t="s">
        <v>1000</v>
      </c>
      <c r="B100" s="9" t="s">
        <v>215</v>
      </c>
      <c r="C100" s="9" t="s">
        <v>1001</v>
      </c>
      <c r="D100" s="9" t="s">
        <v>556</v>
      </c>
      <c r="E100" s="9" t="s">
        <v>536</v>
      </c>
      <c r="F100" s="9" t="s">
        <v>1002</v>
      </c>
      <c r="G100" s="9" t="s">
        <v>1003</v>
      </c>
      <c r="H100" s="9" t="s">
        <v>88</v>
      </c>
      <c r="I100" s="9" t="s">
        <v>1004</v>
      </c>
      <c r="J100" s="9" t="s">
        <v>541</v>
      </c>
      <c r="K100" s="9" t="s">
        <v>588</v>
      </c>
      <c r="L100" s="9"/>
      <c r="M100" s="43"/>
    </row>
    <row r="101" customFormat="false" ht="15" hidden="false" customHeight="false" outlineLevel="0" collapsed="false">
      <c r="A101" s="8" t="s">
        <v>1005</v>
      </c>
      <c r="B101" s="9" t="s">
        <v>215</v>
      </c>
      <c r="C101" s="9" t="s">
        <v>562</v>
      </c>
      <c r="D101" s="9" t="s">
        <v>9</v>
      </c>
      <c r="E101" s="9" t="s">
        <v>834</v>
      </c>
      <c r="F101" s="9" t="s">
        <v>1006</v>
      </c>
      <c r="G101" s="9" t="s">
        <v>1007</v>
      </c>
      <c r="H101" s="9" t="s">
        <v>1008</v>
      </c>
      <c r="I101" s="9" t="s">
        <v>37</v>
      </c>
      <c r="J101" s="9" t="s">
        <v>541</v>
      </c>
      <c r="K101" s="9" t="s">
        <v>528</v>
      </c>
      <c r="L101" s="9" t="s">
        <v>1009</v>
      </c>
      <c r="M101" s="43"/>
    </row>
    <row r="102" customFormat="false" ht="15" hidden="false" customHeight="false" outlineLevel="0" collapsed="false">
      <c r="A102" s="8" t="s">
        <v>1010</v>
      </c>
      <c r="B102" s="9" t="s">
        <v>162</v>
      </c>
      <c r="C102" s="9" t="s">
        <v>195</v>
      </c>
      <c r="D102" s="9" t="s">
        <v>556</v>
      </c>
      <c r="E102" s="9" t="s">
        <v>1011</v>
      </c>
      <c r="F102" s="9" t="s">
        <v>1012</v>
      </c>
      <c r="G102" s="9" t="s">
        <v>1013</v>
      </c>
      <c r="H102" s="9" t="s">
        <v>586</v>
      </c>
      <c r="I102" s="9" t="s">
        <v>1014</v>
      </c>
      <c r="J102" s="9" t="s">
        <v>541</v>
      </c>
      <c r="K102" s="9" t="s">
        <v>528</v>
      </c>
      <c r="L102" s="9" t="s">
        <v>809</v>
      </c>
      <c r="M102" s="43"/>
    </row>
    <row r="103" customFormat="false" ht="15" hidden="false" customHeight="false" outlineLevel="0" collapsed="false">
      <c r="A103" s="8" t="s">
        <v>243</v>
      </c>
      <c r="B103" s="9" t="s">
        <v>244</v>
      </c>
      <c r="C103" s="9" t="s">
        <v>562</v>
      </c>
      <c r="D103" s="9" t="s">
        <v>9</v>
      </c>
      <c r="E103" s="9" t="s">
        <v>536</v>
      </c>
      <c r="F103" s="9" t="s">
        <v>1015</v>
      </c>
      <c r="G103" s="9" t="s">
        <v>1016</v>
      </c>
      <c r="H103" s="9" t="s">
        <v>1017</v>
      </c>
      <c r="I103" s="9" t="s">
        <v>1018</v>
      </c>
      <c r="J103" s="9" t="s">
        <v>541</v>
      </c>
      <c r="K103" s="9" t="s">
        <v>588</v>
      </c>
      <c r="L103" s="9" t="s">
        <v>735</v>
      </c>
      <c r="M103" s="43"/>
    </row>
    <row r="104" customFormat="false" ht="15" hidden="false" customHeight="false" outlineLevel="0" collapsed="false">
      <c r="A104" s="8" t="s">
        <v>1019</v>
      </c>
      <c r="B104" s="9" t="s">
        <v>1020</v>
      </c>
      <c r="C104" s="9" t="s">
        <v>562</v>
      </c>
      <c r="D104" s="9" t="s">
        <v>1021</v>
      </c>
      <c r="E104" s="9" t="s">
        <v>1022</v>
      </c>
      <c r="F104" s="9" t="s">
        <v>1023</v>
      </c>
      <c r="G104" s="9" t="s">
        <v>1024</v>
      </c>
      <c r="H104" s="9" t="s">
        <v>1025</v>
      </c>
      <c r="I104" s="9" t="s">
        <v>247</v>
      </c>
      <c r="J104" s="9" t="s">
        <v>587</v>
      </c>
      <c r="K104" s="9" t="s">
        <v>588</v>
      </c>
      <c r="L104" s="9"/>
      <c r="M104" s="43"/>
    </row>
    <row r="105" customFormat="false" ht="15" hidden="false" customHeight="false" outlineLevel="0" collapsed="false">
      <c r="A105" s="8" t="s">
        <v>1026</v>
      </c>
      <c r="B105" s="9" t="s">
        <v>1027</v>
      </c>
      <c r="C105" s="9" t="s">
        <v>562</v>
      </c>
      <c r="D105" s="9" t="s">
        <v>9</v>
      </c>
      <c r="E105" s="9" t="s">
        <v>1028</v>
      </c>
      <c r="F105" s="9" t="s">
        <v>1029</v>
      </c>
      <c r="G105" s="9" t="s">
        <v>619</v>
      </c>
      <c r="H105" s="9" t="s">
        <v>979</v>
      </c>
      <c r="I105" s="9" t="s">
        <v>1030</v>
      </c>
      <c r="J105" s="9" t="s">
        <v>587</v>
      </c>
      <c r="K105" s="9" t="s">
        <v>588</v>
      </c>
      <c r="L105" s="9"/>
      <c r="M105" s="43"/>
    </row>
    <row r="106" customFormat="false" ht="15" hidden="false" customHeight="false" outlineLevel="0" collapsed="false">
      <c r="A106" s="8" t="s">
        <v>1031</v>
      </c>
      <c r="B106" s="9" t="s">
        <v>1032</v>
      </c>
      <c r="C106" s="9" t="s">
        <v>650</v>
      </c>
      <c r="D106" s="9" t="s">
        <v>530</v>
      </c>
      <c r="E106" s="9" t="s">
        <v>1033</v>
      </c>
      <c r="F106" s="9" t="s">
        <v>1034</v>
      </c>
      <c r="G106" s="9" t="s">
        <v>619</v>
      </c>
      <c r="H106" s="9" t="s">
        <v>1035</v>
      </c>
      <c r="I106" s="9" t="s">
        <v>1036</v>
      </c>
      <c r="J106" s="9" t="s">
        <v>587</v>
      </c>
      <c r="K106" s="9" t="s">
        <v>588</v>
      </c>
      <c r="L106" s="9"/>
      <c r="M106" s="43"/>
    </row>
    <row r="107" customFormat="false" ht="23.85" hidden="false" customHeight="false" outlineLevel="0" collapsed="false">
      <c r="A107" s="8" t="s">
        <v>1037</v>
      </c>
      <c r="B107" s="9" t="s">
        <v>1027</v>
      </c>
      <c r="C107" s="9" t="s">
        <v>650</v>
      </c>
      <c r="D107" s="9" t="s">
        <v>556</v>
      </c>
      <c r="E107" s="9" t="s">
        <v>1038</v>
      </c>
      <c r="F107" s="9" t="s">
        <v>1039</v>
      </c>
      <c r="G107" s="9" t="s">
        <v>619</v>
      </c>
      <c r="H107" s="9" t="s">
        <v>37</v>
      </c>
      <c r="I107" s="9" t="s">
        <v>1040</v>
      </c>
      <c r="J107" s="9" t="s">
        <v>605</v>
      </c>
      <c r="K107" s="9" t="s">
        <v>588</v>
      </c>
      <c r="L107" s="9"/>
      <c r="M107" s="43"/>
    </row>
    <row r="108" customFormat="false" ht="15" hidden="false" customHeight="false" outlineLevel="0" collapsed="false">
      <c r="A108" s="8" t="s">
        <v>1041</v>
      </c>
      <c r="B108" s="9" t="s">
        <v>244</v>
      </c>
      <c r="C108" s="9" t="s">
        <v>1042</v>
      </c>
      <c r="D108" s="9" t="s">
        <v>37</v>
      </c>
      <c r="E108" s="9" t="s">
        <v>1043</v>
      </c>
      <c r="F108" s="9" t="s">
        <v>1044</v>
      </c>
      <c r="G108" s="9" t="s">
        <v>1045</v>
      </c>
      <c r="H108" s="9" t="s">
        <v>37</v>
      </c>
      <c r="I108" s="9" t="s">
        <v>37</v>
      </c>
      <c r="J108" s="9" t="s">
        <v>605</v>
      </c>
      <c r="K108" s="9" t="s">
        <v>588</v>
      </c>
      <c r="L108" s="9"/>
      <c r="M108" s="43"/>
    </row>
    <row r="109" customFormat="false" ht="23.85" hidden="false" customHeight="false" outlineLevel="0" collapsed="false">
      <c r="A109" s="8" t="s">
        <v>1046</v>
      </c>
      <c r="B109" s="9" t="s">
        <v>244</v>
      </c>
      <c r="C109" s="9" t="s">
        <v>1047</v>
      </c>
      <c r="D109" s="9" t="s">
        <v>37</v>
      </c>
      <c r="E109" s="9" t="s">
        <v>1048</v>
      </c>
      <c r="F109" s="9" t="s">
        <v>1049</v>
      </c>
      <c r="G109" s="9" t="s">
        <v>1050</v>
      </c>
      <c r="H109" s="9" t="s">
        <v>37</v>
      </c>
      <c r="I109" s="9" t="s">
        <v>37</v>
      </c>
      <c r="J109" s="9" t="s">
        <v>605</v>
      </c>
      <c r="K109" s="9" t="s">
        <v>588</v>
      </c>
      <c r="L109" s="9"/>
      <c r="M109" s="43"/>
    </row>
    <row r="110" customFormat="false" ht="15" hidden="false" customHeight="false" outlineLevel="0" collapsed="false">
      <c r="A110" s="8" t="s">
        <v>1051</v>
      </c>
      <c r="B110" s="9" t="s">
        <v>1052</v>
      </c>
      <c r="C110" s="9" t="s">
        <v>1053</v>
      </c>
      <c r="D110" s="9" t="s">
        <v>556</v>
      </c>
      <c r="E110" s="9" t="s">
        <v>536</v>
      </c>
      <c r="F110" s="9" t="s">
        <v>1054</v>
      </c>
      <c r="G110" s="9" t="s">
        <v>1055</v>
      </c>
      <c r="H110" s="9" t="s">
        <v>37</v>
      </c>
      <c r="I110" s="9" t="s">
        <v>1056</v>
      </c>
      <c r="J110" s="9" t="s">
        <v>605</v>
      </c>
      <c r="K110" s="9" t="s">
        <v>588</v>
      </c>
      <c r="L110" s="9"/>
      <c r="M110" s="43"/>
    </row>
    <row r="111" customFormat="false" ht="15" hidden="false" customHeight="false" outlineLevel="0" collapsed="false">
      <c r="A111" s="8" t="s">
        <v>1057</v>
      </c>
      <c r="B111" s="9" t="s">
        <v>1058</v>
      </c>
      <c r="C111" s="9" t="s">
        <v>1059</v>
      </c>
      <c r="D111" s="9" t="s">
        <v>1060</v>
      </c>
      <c r="E111" s="9" t="s">
        <v>1061</v>
      </c>
      <c r="F111" s="9" t="s">
        <v>1062</v>
      </c>
      <c r="G111" s="9" t="s">
        <v>619</v>
      </c>
      <c r="H111" s="9" t="s">
        <v>1063</v>
      </c>
      <c r="I111" s="9" t="s">
        <v>1064</v>
      </c>
      <c r="J111" s="9" t="s">
        <v>605</v>
      </c>
      <c r="K111" s="9" t="s">
        <v>588</v>
      </c>
      <c r="L111" s="9"/>
      <c r="M111" s="43"/>
    </row>
    <row r="112" customFormat="false" ht="15" hidden="false" customHeight="false" outlineLevel="0" collapsed="false">
      <c r="A112" s="8" t="s">
        <v>1065</v>
      </c>
      <c r="B112" s="9" t="s">
        <v>1066</v>
      </c>
      <c r="C112" s="9" t="s">
        <v>1067</v>
      </c>
      <c r="D112" s="9" t="s">
        <v>556</v>
      </c>
      <c r="E112" s="9" t="s">
        <v>536</v>
      </c>
      <c r="F112" s="9" t="s">
        <v>1068</v>
      </c>
      <c r="G112" s="9" t="s">
        <v>1069</v>
      </c>
      <c r="H112" s="9" t="s">
        <v>37</v>
      </c>
      <c r="I112" s="9" t="s">
        <v>1070</v>
      </c>
      <c r="J112" s="9" t="s">
        <v>587</v>
      </c>
      <c r="K112" s="9" t="s">
        <v>588</v>
      </c>
      <c r="L112" s="9"/>
      <c r="M112" s="43"/>
    </row>
    <row r="113" customFormat="false" ht="15" hidden="false" customHeight="false" outlineLevel="0" collapsed="false">
      <c r="A113" s="8" t="s">
        <v>1071</v>
      </c>
      <c r="B113" s="9" t="s">
        <v>1072</v>
      </c>
      <c r="C113" s="9" t="s">
        <v>1073</v>
      </c>
      <c r="D113" s="9" t="s">
        <v>37</v>
      </c>
      <c r="E113" s="9" t="s">
        <v>1074</v>
      </c>
      <c r="F113" s="9" t="s">
        <v>1075</v>
      </c>
      <c r="G113" s="9" t="s">
        <v>1076</v>
      </c>
      <c r="H113" s="9" t="s">
        <v>586</v>
      </c>
      <c r="I113" s="9" t="s">
        <v>809</v>
      </c>
      <c r="J113" s="9" t="s">
        <v>587</v>
      </c>
      <c r="K113" s="9" t="s">
        <v>528</v>
      </c>
      <c r="L113" s="9"/>
      <c r="M113" s="43"/>
    </row>
    <row r="114" customFormat="false" ht="15" hidden="false" customHeight="false" outlineLevel="0" collapsed="false">
      <c r="A114" s="8" t="s">
        <v>1077</v>
      </c>
      <c r="B114" s="9" t="s">
        <v>1078</v>
      </c>
      <c r="C114" s="9" t="s">
        <v>1079</v>
      </c>
      <c r="D114" s="9" t="s">
        <v>37</v>
      </c>
      <c r="E114" s="9" t="s">
        <v>1080</v>
      </c>
      <c r="F114" s="9" t="s">
        <v>1081</v>
      </c>
      <c r="G114" s="9" t="s">
        <v>599</v>
      </c>
      <c r="H114" s="9" t="s">
        <v>37</v>
      </c>
      <c r="I114" s="9" t="s">
        <v>809</v>
      </c>
      <c r="J114" s="9" t="s">
        <v>605</v>
      </c>
      <c r="K114" s="9" t="s">
        <v>528</v>
      </c>
      <c r="L114" s="9"/>
      <c r="M114" s="43"/>
    </row>
    <row r="115" customFormat="false" ht="15" hidden="false" customHeight="false" outlineLevel="0" collapsed="false">
      <c r="A115" s="8" t="s">
        <v>1082</v>
      </c>
      <c r="B115" s="9" t="s">
        <v>1078</v>
      </c>
      <c r="C115" s="9" t="s">
        <v>1083</v>
      </c>
      <c r="D115" s="9" t="s">
        <v>37</v>
      </c>
      <c r="E115" s="9" t="s">
        <v>1084</v>
      </c>
      <c r="F115" s="9" t="s">
        <v>1085</v>
      </c>
      <c r="G115" s="9" t="s">
        <v>37</v>
      </c>
      <c r="H115" s="9" t="s">
        <v>37</v>
      </c>
      <c r="I115" s="9" t="s">
        <v>809</v>
      </c>
      <c r="J115" s="9" t="s">
        <v>605</v>
      </c>
      <c r="K115" s="9" t="s">
        <v>528</v>
      </c>
      <c r="L115" s="9"/>
      <c r="M115" s="43"/>
    </row>
    <row r="116" customFormat="false" ht="23.85" hidden="false" customHeight="false" outlineLevel="0" collapsed="false">
      <c r="A116" s="8" t="s">
        <v>1086</v>
      </c>
      <c r="B116" s="9" t="s">
        <v>1087</v>
      </c>
      <c r="C116" s="9" t="s">
        <v>195</v>
      </c>
      <c r="D116" s="9" t="s">
        <v>37</v>
      </c>
      <c r="E116" s="9" t="s">
        <v>1088</v>
      </c>
      <c r="F116" s="9" t="s">
        <v>1089</v>
      </c>
      <c r="G116" s="9" t="s">
        <v>37</v>
      </c>
      <c r="H116" s="9" t="s">
        <v>37</v>
      </c>
      <c r="I116" s="9" t="s">
        <v>37</v>
      </c>
      <c r="J116" s="9" t="s">
        <v>605</v>
      </c>
      <c r="K116" s="9" t="s">
        <v>588</v>
      </c>
      <c r="L116" s="9"/>
      <c r="M116" s="43"/>
    </row>
    <row r="117" customFormat="false" ht="23.85" hidden="false" customHeight="false" outlineLevel="0" collapsed="false">
      <c r="A117" s="8" t="s">
        <v>1090</v>
      </c>
      <c r="B117" s="9" t="s">
        <v>1091</v>
      </c>
      <c r="C117" s="9" t="s">
        <v>338</v>
      </c>
      <c r="D117" s="9" t="s">
        <v>37</v>
      </c>
      <c r="E117" s="9" t="s">
        <v>1092</v>
      </c>
      <c r="F117" s="9" t="s">
        <v>1093</v>
      </c>
      <c r="G117" s="9" t="s">
        <v>741</v>
      </c>
      <c r="H117" s="9" t="s">
        <v>37</v>
      </c>
      <c r="I117" s="9" t="s">
        <v>809</v>
      </c>
      <c r="J117" s="9" t="s">
        <v>830</v>
      </c>
      <c r="K117" s="9" t="s">
        <v>528</v>
      </c>
      <c r="L117" s="9" t="s">
        <v>1094</v>
      </c>
      <c r="M117" s="43"/>
    </row>
    <row r="118" customFormat="false" ht="23.85" hidden="false" customHeight="false" outlineLevel="0" collapsed="false">
      <c r="A118" s="8" t="s">
        <v>1095</v>
      </c>
      <c r="B118" s="9" t="s">
        <v>1096</v>
      </c>
      <c r="C118" s="9" t="s">
        <v>1097</v>
      </c>
      <c r="D118" s="9" t="s">
        <v>37</v>
      </c>
      <c r="E118" s="9" t="s">
        <v>1098</v>
      </c>
      <c r="F118" s="9" t="s">
        <v>1099</v>
      </c>
      <c r="G118" s="9" t="s">
        <v>37</v>
      </c>
      <c r="H118" s="9" t="s">
        <v>37</v>
      </c>
      <c r="I118" s="9" t="s">
        <v>1100</v>
      </c>
      <c r="J118" s="9" t="s">
        <v>605</v>
      </c>
      <c r="K118" s="9" t="s">
        <v>588</v>
      </c>
      <c r="L118" s="9" t="s">
        <v>1101</v>
      </c>
      <c r="M118" s="43"/>
    </row>
    <row r="119" customFormat="false" ht="15" hidden="false" customHeight="false" outlineLevel="0" collapsed="false">
      <c r="A119" s="8" t="s">
        <v>1102</v>
      </c>
      <c r="B119" s="9" t="s">
        <v>1103</v>
      </c>
      <c r="C119" s="9" t="s">
        <v>1104</v>
      </c>
      <c r="D119" s="9" t="s">
        <v>37</v>
      </c>
      <c r="E119" s="9" t="s">
        <v>1105</v>
      </c>
      <c r="F119" s="9" t="s">
        <v>1106</v>
      </c>
      <c r="G119" s="9" t="s">
        <v>1107</v>
      </c>
      <c r="H119" s="9" t="s">
        <v>37</v>
      </c>
      <c r="I119" s="9" t="s">
        <v>1108</v>
      </c>
      <c r="J119" s="9" t="s">
        <v>605</v>
      </c>
      <c r="K119" s="9" t="s">
        <v>588</v>
      </c>
      <c r="L119" s="9"/>
      <c r="M119" s="43"/>
    </row>
    <row r="120" customFormat="false" ht="15" hidden="false" customHeight="false" outlineLevel="0" collapsed="false">
      <c r="A120" s="8" t="s">
        <v>1109</v>
      </c>
      <c r="B120" s="9" t="s">
        <v>1103</v>
      </c>
      <c r="C120" s="9" t="s">
        <v>562</v>
      </c>
      <c r="D120" s="9" t="s">
        <v>9</v>
      </c>
      <c r="E120" s="9" t="s">
        <v>1110</v>
      </c>
      <c r="F120" s="9" t="s">
        <v>1111</v>
      </c>
      <c r="G120" s="9" t="s">
        <v>652</v>
      </c>
      <c r="H120" s="9" t="s">
        <v>37</v>
      </c>
      <c r="I120" s="9" t="s">
        <v>809</v>
      </c>
      <c r="J120" s="9" t="s">
        <v>605</v>
      </c>
      <c r="K120" s="9" t="s">
        <v>528</v>
      </c>
      <c r="L120" s="9"/>
      <c r="M120" s="43"/>
    </row>
    <row r="121" customFormat="false" ht="15" hidden="false" customHeight="false" outlineLevel="0" collapsed="false">
      <c r="A121" s="8" t="s">
        <v>1112</v>
      </c>
      <c r="B121" s="9" t="s">
        <v>1103</v>
      </c>
      <c r="C121" s="9" t="s">
        <v>639</v>
      </c>
      <c r="D121" s="9" t="s">
        <v>37</v>
      </c>
      <c r="E121" s="9" t="s">
        <v>1113</v>
      </c>
      <c r="F121" s="9" t="s">
        <v>1114</v>
      </c>
      <c r="G121" s="9" t="s">
        <v>37</v>
      </c>
      <c r="H121" s="9" t="s">
        <v>37</v>
      </c>
      <c r="I121" s="9" t="s">
        <v>37</v>
      </c>
      <c r="J121" s="9" t="s">
        <v>830</v>
      </c>
      <c r="K121" s="9" t="s">
        <v>588</v>
      </c>
      <c r="L121" s="9" t="s">
        <v>1115</v>
      </c>
      <c r="M121" s="43"/>
    </row>
    <row r="122" customFormat="false" ht="23.85" hidden="false" customHeight="false" outlineLevel="0" collapsed="false">
      <c r="A122" s="8" t="s">
        <v>1116</v>
      </c>
      <c r="B122" s="9" t="s">
        <v>1117</v>
      </c>
      <c r="C122" s="9" t="s">
        <v>562</v>
      </c>
      <c r="D122" s="9" t="s">
        <v>9</v>
      </c>
      <c r="E122" s="9" t="s">
        <v>536</v>
      </c>
      <c r="F122" s="9" t="s">
        <v>1118</v>
      </c>
      <c r="G122" s="9" t="s">
        <v>1119</v>
      </c>
      <c r="H122" s="9" t="s">
        <v>229</v>
      </c>
      <c r="I122" s="9" t="s">
        <v>1120</v>
      </c>
      <c r="J122" s="9" t="s">
        <v>587</v>
      </c>
      <c r="K122" s="9" t="s">
        <v>588</v>
      </c>
      <c r="L122" s="9"/>
      <c r="M122" s="43"/>
    </row>
    <row r="123" customFormat="false" ht="15" hidden="false" customHeight="false" outlineLevel="0" collapsed="false">
      <c r="A123" s="8" t="s">
        <v>1121</v>
      </c>
      <c r="B123" s="9" t="s">
        <v>1122</v>
      </c>
      <c r="C123" s="9" t="s">
        <v>555</v>
      </c>
      <c r="D123" s="9" t="s">
        <v>738</v>
      </c>
      <c r="E123" s="9" t="s">
        <v>536</v>
      </c>
      <c r="F123" s="9" t="s">
        <v>1123</v>
      </c>
      <c r="G123" s="9" t="s">
        <v>918</v>
      </c>
      <c r="H123" s="9" t="s">
        <v>37</v>
      </c>
      <c r="I123" s="9" t="s">
        <v>1124</v>
      </c>
      <c r="J123" s="9" t="s">
        <v>605</v>
      </c>
      <c r="K123" s="9" t="s">
        <v>588</v>
      </c>
      <c r="L123" s="9"/>
      <c r="M123" s="43"/>
    </row>
    <row r="124" customFormat="false" ht="15" hidden="false" customHeight="false" outlineLevel="0" collapsed="false">
      <c r="A124" s="8" t="s">
        <v>1125</v>
      </c>
      <c r="B124" s="9" t="s">
        <v>1122</v>
      </c>
      <c r="C124" s="9" t="s">
        <v>1126</v>
      </c>
      <c r="D124" s="9" t="s">
        <v>9</v>
      </c>
      <c r="E124" s="9" t="s">
        <v>1127</v>
      </c>
      <c r="F124" s="9" t="s">
        <v>1128</v>
      </c>
      <c r="G124" s="9" t="s">
        <v>1129</v>
      </c>
      <c r="H124" s="9" t="s">
        <v>1130</v>
      </c>
      <c r="I124" s="9" t="s">
        <v>37</v>
      </c>
      <c r="J124" s="9" t="s">
        <v>605</v>
      </c>
      <c r="K124" s="9" t="s">
        <v>528</v>
      </c>
      <c r="L124" s="9"/>
      <c r="M124" s="43"/>
    </row>
    <row r="125" customFormat="false" ht="15" hidden="false" customHeight="false" outlineLevel="0" collapsed="false">
      <c r="A125" s="8" t="s">
        <v>1131</v>
      </c>
      <c r="B125" s="9" t="s">
        <v>1122</v>
      </c>
      <c r="C125" s="9" t="s">
        <v>1132</v>
      </c>
      <c r="D125" s="9" t="s">
        <v>37</v>
      </c>
      <c r="E125" s="9" t="s">
        <v>1133</v>
      </c>
      <c r="F125" s="9" t="s">
        <v>1134</v>
      </c>
      <c r="G125" s="9" t="s">
        <v>37</v>
      </c>
      <c r="H125" s="9" t="s">
        <v>37</v>
      </c>
      <c r="I125" s="9" t="s">
        <v>37</v>
      </c>
      <c r="J125" s="9" t="s">
        <v>605</v>
      </c>
      <c r="K125" s="9" t="s">
        <v>588</v>
      </c>
      <c r="L125" s="9"/>
      <c r="M125" s="43"/>
    </row>
    <row r="126" customFormat="false" ht="15" hidden="false" customHeight="false" outlineLevel="0" collapsed="false">
      <c r="A126" s="8" t="s">
        <v>1135</v>
      </c>
      <c r="B126" s="9" t="s">
        <v>1136</v>
      </c>
      <c r="C126" s="9" t="s">
        <v>1137</v>
      </c>
      <c r="D126" s="9" t="s">
        <v>37</v>
      </c>
      <c r="E126" s="9" t="s">
        <v>536</v>
      </c>
      <c r="F126" s="9" t="s">
        <v>1138</v>
      </c>
      <c r="G126" s="9" t="s">
        <v>37</v>
      </c>
      <c r="H126" s="9" t="s">
        <v>37</v>
      </c>
      <c r="I126" s="9" t="s">
        <v>37</v>
      </c>
      <c r="J126" s="9" t="s">
        <v>830</v>
      </c>
      <c r="K126" s="9" t="s">
        <v>588</v>
      </c>
      <c r="L126" s="9" t="s">
        <v>1139</v>
      </c>
      <c r="M126" s="43"/>
    </row>
    <row r="127" customFormat="false" ht="15" hidden="false" customHeight="false" outlineLevel="0" collapsed="false">
      <c r="A127" s="8" t="s">
        <v>1140</v>
      </c>
      <c r="B127" s="9" t="s">
        <v>1141</v>
      </c>
      <c r="C127" s="9" t="s">
        <v>307</v>
      </c>
      <c r="D127" s="9" t="s">
        <v>37</v>
      </c>
      <c r="E127" s="9" t="s">
        <v>536</v>
      </c>
      <c r="F127" s="9" t="s">
        <v>1142</v>
      </c>
      <c r="G127" s="9" t="s">
        <v>37</v>
      </c>
      <c r="H127" s="9" t="s">
        <v>37</v>
      </c>
      <c r="I127" s="9" t="s">
        <v>1143</v>
      </c>
      <c r="J127" s="9" t="s">
        <v>605</v>
      </c>
      <c r="K127" s="9" t="s">
        <v>588</v>
      </c>
      <c r="L127" s="9"/>
      <c r="M127" s="43"/>
    </row>
    <row r="128" customFormat="false" ht="15" hidden="false" customHeight="false" outlineLevel="0" collapsed="false">
      <c r="A128" s="8" t="s">
        <v>1144</v>
      </c>
      <c r="B128" s="9" t="s">
        <v>1145</v>
      </c>
      <c r="C128" s="9" t="s">
        <v>1146</v>
      </c>
      <c r="D128" s="9" t="s">
        <v>1147</v>
      </c>
      <c r="E128" s="9" t="s">
        <v>536</v>
      </c>
      <c r="F128" s="9" t="s">
        <v>1148</v>
      </c>
      <c r="G128" s="9" t="s">
        <v>37</v>
      </c>
      <c r="H128" s="9" t="s">
        <v>37</v>
      </c>
      <c r="I128" s="9" t="s">
        <v>37</v>
      </c>
      <c r="J128" s="9" t="s">
        <v>605</v>
      </c>
      <c r="K128" s="9" t="s">
        <v>588</v>
      </c>
      <c r="L128" s="9"/>
      <c r="M128" s="43"/>
    </row>
    <row r="129" customFormat="false" ht="15" hidden="false" customHeight="false" outlineLevel="0" collapsed="false">
      <c r="A129" s="8" t="s">
        <v>1149</v>
      </c>
      <c r="B129" s="9" t="s">
        <v>1150</v>
      </c>
      <c r="C129" s="9" t="s">
        <v>1151</v>
      </c>
      <c r="D129" s="9" t="s">
        <v>37</v>
      </c>
      <c r="E129" s="9" t="s">
        <v>536</v>
      </c>
      <c r="F129" s="9" t="s">
        <v>1152</v>
      </c>
      <c r="G129" s="9" t="s">
        <v>37</v>
      </c>
      <c r="H129" s="9" t="s">
        <v>37</v>
      </c>
      <c r="I129" s="9" t="s">
        <v>37</v>
      </c>
      <c r="J129" s="9" t="s">
        <v>605</v>
      </c>
      <c r="K129" s="9" t="s">
        <v>588</v>
      </c>
      <c r="L129" s="9"/>
      <c r="M129" s="43"/>
    </row>
    <row r="130" customFormat="false" ht="15" hidden="false" customHeight="false" outlineLevel="0" collapsed="false">
      <c r="A130" s="8" t="s">
        <v>1153</v>
      </c>
      <c r="B130" s="9" t="s">
        <v>1154</v>
      </c>
      <c r="C130" s="9" t="s">
        <v>555</v>
      </c>
      <c r="D130" s="9" t="s">
        <v>556</v>
      </c>
      <c r="E130" s="9" t="s">
        <v>536</v>
      </c>
      <c r="F130" s="9" t="s">
        <v>1155</v>
      </c>
      <c r="G130" s="9" t="s">
        <v>37</v>
      </c>
      <c r="H130" s="9" t="s">
        <v>37</v>
      </c>
      <c r="I130" s="9" t="s">
        <v>37</v>
      </c>
      <c r="J130" s="9" t="s">
        <v>605</v>
      </c>
      <c r="K130" s="9" t="s">
        <v>588</v>
      </c>
      <c r="L130" s="9"/>
      <c r="M130" s="43"/>
    </row>
    <row r="131" customFormat="false" ht="15" hidden="false" customHeight="false" outlineLevel="0" collapsed="false">
      <c r="A131" s="8" t="s">
        <v>1156</v>
      </c>
      <c r="B131" s="9" t="s">
        <v>1157</v>
      </c>
      <c r="C131" s="9" t="s">
        <v>781</v>
      </c>
      <c r="D131" s="9" t="s">
        <v>37</v>
      </c>
      <c r="E131" s="9" t="s">
        <v>536</v>
      </c>
      <c r="F131" s="9" t="s">
        <v>1158</v>
      </c>
      <c r="G131" s="9" t="s">
        <v>37</v>
      </c>
      <c r="H131" s="9" t="s">
        <v>37</v>
      </c>
      <c r="I131" s="9" t="s">
        <v>37</v>
      </c>
      <c r="J131" s="9" t="s">
        <v>605</v>
      </c>
      <c r="K131" s="9" t="s">
        <v>588</v>
      </c>
      <c r="L131" s="9"/>
      <c r="M131" s="43"/>
    </row>
    <row r="132" customFormat="false" ht="23.85" hidden="false" customHeight="false" outlineLevel="0" collapsed="false">
      <c r="A132" s="8" t="s">
        <v>1159</v>
      </c>
      <c r="B132" s="9" t="s">
        <v>1160</v>
      </c>
      <c r="C132" s="9" t="s">
        <v>562</v>
      </c>
      <c r="D132" s="9" t="s">
        <v>9</v>
      </c>
      <c r="E132" s="9" t="s">
        <v>1161</v>
      </c>
      <c r="F132" s="9" t="s">
        <v>1162</v>
      </c>
      <c r="G132" s="9" t="s">
        <v>1163</v>
      </c>
      <c r="H132" s="9" t="s">
        <v>1164</v>
      </c>
      <c r="I132" s="9" t="s">
        <v>1165</v>
      </c>
      <c r="J132" s="9" t="s">
        <v>541</v>
      </c>
      <c r="K132" s="9" t="s">
        <v>588</v>
      </c>
      <c r="L132" s="9"/>
      <c r="M132" s="43"/>
    </row>
    <row r="133" customFormat="false" ht="23.85" hidden="false" customHeight="false" outlineLevel="0" collapsed="false">
      <c r="A133" s="8" t="s">
        <v>1166</v>
      </c>
      <c r="B133" s="9" t="s">
        <v>1160</v>
      </c>
      <c r="C133" s="9" t="s">
        <v>562</v>
      </c>
      <c r="D133" s="9" t="s">
        <v>9</v>
      </c>
      <c r="E133" s="9" t="s">
        <v>1167</v>
      </c>
      <c r="F133" s="9" t="s">
        <v>1168</v>
      </c>
      <c r="G133" s="9" t="s">
        <v>1163</v>
      </c>
      <c r="H133" s="9" t="s">
        <v>1169</v>
      </c>
      <c r="I133" s="9" t="s">
        <v>1170</v>
      </c>
      <c r="J133" s="9" t="s">
        <v>541</v>
      </c>
      <c r="K133" s="9" t="s">
        <v>588</v>
      </c>
      <c r="L133" s="9"/>
      <c r="M133" s="43"/>
    </row>
    <row r="134" customFormat="false" ht="15" hidden="false" customHeight="false" outlineLevel="0" collapsed="false">
      <c r="A134" s="8" t="s">
        <v>1171</v>
      </c>
      <c r="B134" s="9" t="s">
        <v>1172</v>
      </c>
      <c r="C134" s="9" t="s">
        <v>562</v>
      </c>
      <c r="D134" s="9" t="s">
        <v>9</v>
      </c>
      <c r="E134" s="9" t="s">
        <v>1173</v>
      </c>
      <c r="F134" s="9" t="s">
        <v>1174</v>
      </c>
      <c r="G134" s="9" t="s">
        <v>619</v>
      </c>
      <c r="H134" s="9" t="s">
        <v>979</v>
      </c>
      <c r="I134" s="9" t="s">
        <v>1175</v>
      </c>
      <c r="J134" s="9" t="s">
        <v>587</v>
      </c>
      <c r="K134" s="9" t="s">
        <v>588</v>
      </c>
      <c r="L134" s="9"/>
      <c r="M134" s="43"/>
    </row>
    <row r="135" customFormat="false" ht="15" hidden="false" customHeight="false" outlineLevel="0" collapsed="false">
      <c r="A135" s="8" t="s">
        <v>1176</v>
      </c>
      <c r="B135" s="9" t="s">
        <v>1172</v>
      </c>
      <c r="C135" s="9" t="s">
        <v>949</v>
      </c>
      <c r="D135" s="9" t="s">
        <v>530</v>
      </c>
      <c r="E135" s="9" t="s">
        <v>1177</v>
      </c>
      <c r="F135" s="9" t="s">
        <v>1178</v>
      </c>
      <c r="G135" s="9" t="s">
        <v>619</v>
      </c>
      <c r="H135" s="9" t="s">
        <v>37</v>
      </c>
      <c r="I135" s="9" t="s">
        <v>37</v>
      </c>
      <c r="J135" s="9" t="s">
        <v>605</v>
      </c>
      <c r="K135" s="9" t="s">
        <v>588</v>
      </c>
      <c r="L135" s="9"/>
      <c r="M135" s="43"/>
    </row>
    <row r="136" customFormat="false" ht="15" hidden="false" customHeight="false" outlineLevel="0" collapsed="false">
      <c r="A136" s="8" t="s">
        <v>1179</v>
      </c>
      <c r="B136" s="9" t="s">
        <v>1160</v>
      </c>
      <c r="C136" s="9" t="s">
        <v>562</v>
      </c>
      <c r="D136" s="9" t="s">
        <v>9</v>
      </c>
      <c r="E136" s="9" t="s">
        <v>1180</v>
      </c>
      <c r="F136" s="9" t="s">
        <v>1181</v>
      </c>
      <c r="G136" s="9" t="s">
        <v>1163</v>
      </c>
      <c r="H136" s="9" t="s">
        <v>979</v>
      </c>
      <c r="I136" s="9" t="s">
        <v>37</v>
      </c>
      <c r="J136" s="9" t="s">
        <v>587</v>
      </c>
      <c r="K136" s="9" t="s">
        <v>588</v>
      </c>
      <c r="L136" s="9"/>
      <c r="M136" s="43"/>
    </row>
    <row r="137" customFormat="false" ht="23.85" hidden="false" customHeight="false" outlineLevel="0" collapsed="false">
      <c r="A137" s="8" t="s">
        <v>1182</v>
      </c>
      <c r="B137" s="9" t="s">
        <v>1160</v>
      </c>
      <c r="C137" s="9" t="s">
        <v>692</v>
      </c>
      <c r="D137" s="9" t="s">
        <v>1183</v>
      </c>
      <c r="E137" s="9" t="s">
        <v>1184</v>
      </c>
      <c r="F137" s="9" t="s">
        <v>1185</v>
      </c>
      <c r="G137" s="9" t="s">
        <v>890</v>
      </c>
      <c r="H137" s="9" t="s">
        <v>696</v>
      </c>
      <c r="I137" s="9" t="s">
        <v>809</v>
      </c>
      <c r="J137" s="9" t="s">
        <v>587</v>
      </c>
      <c r="K137" s="9" t="s">
        <v>528</v>
      </c>
      <c r="L137" s="9"/>
      <c r="M137" s="43"/>
    </row>
    <row r="138" customFormat="false" ht="15" hidden="false" customHeight="false" outlineLevel="0" collapsed="false">
      <c r="A138" s="8" t="s">
        <v>1186</v>
      </c>
      <c r="B138" s="9" t="s">
        <v>1187</v>
      </c>
      <c r="C138" s="9" t="s">
        <v>815</v>
      </c>
      <c r="D138" s="9" t="s">
        <v>1188</v>
      </c>
      <c r="E138" s="9" t="s">
        <v>1189</v>
      </c>
      <c r="F138" s="9" t="s">
        <v>1190</v>
      </c>
      <c r="G138" s="9" t="s">
        <v>1191</v>
      </c>
      <c r="H138" s="9" t="s">
        <v>37</v>
      </c>
      <c r="I138" s="9" t="s">
        <v>1192</v>
      </c>
      <c r="J138" s="9" t="s">
        <v>605</v>
      </c>
      <c r="K138" s="9" t="s">
        <v>588</v>
      </c>
      <c r="L138" s="9"/>
      <c r="M138" s="43"/>
    </row>
    <row r="139" customFormat="false" ht="15" hidden="false" customHeight="false" outlineLevel="0" collapsed="false">
      <c r="A139" s="8" t="s">
        <v>1193</v>
      </c>
      <c r="B139" s="9" t="s">
        <v>1160</v>
      </c>
      <c r="C139" s="9" t="s">
        <v>1194</v>
      </c>
      <c r="D139" s="9" t="s">
        <v>37</v>
      </c>
      <c r="E139" s="9" t="s">
        <v>1195</v>
      </c>
      <c r="F139" s="9" t="s">
        <v>1196</v>
      </c>
      <c r="G139" s="9" t="s">
        <v>37</v>
      </c>
      <c r="H139" s="9" t="s">
        <v>37</v>
      </c>
      <c r="I139" s="9" t="s">
        <v>37</v>
      </c>
      <c r="J139" s="9" t="s">
        <v>605</v>
      </c>
      <c r="K139" s="9" t="s">
        <v>588</v>
      </c>
      <c r="L139" s="9"/>
      <c r="M139" s="43"/>
    </row>
    <row r="140" customFormat="false" ht="15" hidden="false" customHeight="false" outlineLevel="0" collapsed="false">
      <c r="A140" s="8" t="s">
        <v>1197</v>
      </c>
      <c r="B140" s="9" t="s">
        <v>1160</v>
      </c>
      <c r="C140" s="9" t="s">
        <v>1194</v>
      </c>
      <c r="D140" s="9" t="s">
        <v>530</v>
      </c>
      <c r="E140" s="9" t="s">
        <v>1198</v>
      </c>
      <c r="F140" s="9" t="s">
        <v>1199</v>
      </c>
      <c r="G140" s="9" t="s">
        <v>37</v>
      </c>
      <c r="H140" s="9" t="s">
        <v>37</v>
      </c>
      <c r="I140" s="9" t="s">
        <v>37</v>
      </c>
      <c r="J140" s="9" t="s">
        <v>605</v>
      </c>
      <c r="K140" s="9" t="s">
        <v>588</v>
      </c>
      <c r="L140" s="9"/>
      <c r="M140" s="43"/>
    </row>
    <row r="141" customFormat="false" ht="15" hidden="false" customHeight="false" outlineLevel="0" collapsed="false">
      <c r="A141" s="8" t="s">
        <v>1200</v>
      </c>
      <c r="B141" s="9" t="s">
        <v>1160</v>
      </c>
      <c r="C141" s="9" t="s">
        <v>692</v>
      </c>
      <c r="D141" s="9" t="s">
        <v>596</v>
      </c>
      <c r="E141" s="9" t="s">
        <v>1201</v>
      </c>
      <c r="F141" s="9" t="s">
        <v>1202</v>
      </c>
      <c r="G141" s="9" t="s">
        <v>37</v>
      </c>
      <c r="H141" s="9" t="s">
        <v>37</v>
      </c>
      <c r="I141" s="9" t="s">
        <v>37</v>
      </c>
      <c r="J141" s="9" t="s">
        <v>605</v>
      </c>
      <c r="K141" s="9" t="s">
        <v>588</v>
      </c>
      <c r="L141" s="9"/>
      <c r="M141" s="43"/>
    </row>
    <row r="142" customFormat="false" ht="15" hidden="false" customHeight="false" outlineLevel="0" collapsed="false">
      <c r="A142" s="8" t="s">
        <v>1203</v>
      </c>
      <c r="B142" s="9" t="s">
        <v>1160</v>
      </c>
      <c r="C142" s="9" t="s">
        <v>583</v>
      </c>
      <c r="D142" s="9" t="s">
        <v>37</v>
      </c>
      <c r="E142" s="9" t="s">
        <v>1204</v>
      </c>
      <c r="F142" s="9" t="s">
        <v>1205</v>
      </c>
      <c r="G142" s="9" t="s">
        <v>37</v>
      </c>
      <c r="H142" s="9" t="s">
        <v>37</v>
      </c>
      <c r="I142" s="9" t="s">
        <v>37</v>
      </c>
      <c r="J142" s="9" t="s">
        <v>605</v>
      </c>
      <c r="K142" s="9" t="s">
        <v>588</v>
      </c>
      <c r="L142" s="9"/>
      <c r="M142" s="43"/>
    </row>
    <row r="143" customFormat="false" ht="23.85" hidden="false" customHeight="false" outlineLevel="0" collapsed="false">
      <c r="A143" s="8" t="s">
        <v>1206</v>
      </c>
      <c r="B143" s="9" t="s">
        <v>1207</v>
      </c>
      <c r="C143" s="9" t="s">
        <v>1208</v>
      </c>
      <c r="D143" s="9" t="s">
        <v>738</v>
      </c>
      <c r="E143" s="9" t="s">
        <v>1209</v>
      </c>
      <c r="F143" s="9" t="s">
        <v>1210</v>
      </c>
      <c r="G143" s="9" t="s">
        <v>438</v>
      </c>
      <c r="H143" s="9" t="s">
        <v>1211</v>
      </c>
      <c r="I143" s="9" t="s">
        <v>1212</v>
      </c>
      <c r="J143" s="9" t="s">
        <v>587</v>
      </c>
      <c r="K143" s="9" t="s">
        <v>588</v>
      </c>
      <c r="L143" s="9"/>
      <c r="M143" s="43"/>
    </row>
    <row r="144" customFormat="false" ht="15" hidden="false" customHeight="false" outlineLevel="0" collapsed="false">
      <c r="A144" s="8" t="s">
        <v>1213</v>
      </c>
      <c r="B144" s="9" t="s">
        <v>180</v>
      </c>
      <c r="C144" s="9" t="s">
        <v>1214</v>
      </c>
      <c r="D144" s="9" t="s">
        <v>37</v>
      </c>
      <c r="E144" s="9" t="s">
        <v>536</v>
      </c>
      <c r="F144" s="9" t="s">
        <v>1215</v>
      </c>
      <c r="G144" s="9" t="s">
        <v>652</v>
      </c>
      <c r="H144" s="9" t="s">
        <v>37</v>
      </c>
      <c r="I144" s="9" t="s">
        <v>37</v>
      </c>
      <c r="J144" s="9" t="s">
        <v>605</v>
      </c>
      <c r="K144" s="9" t="s">
        <v>588</v>
      </c>
      <c r="L144" s="9"/>
      <c r="M144" s="43"/>
    </row>
    <row r="146" customFormat="false" ht="55.5" hidden="false" customHeight="true" outlineLevel="0" collapsed="false">
      <c r="A146" s="11" t="s">
        <v>1216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4B8A"/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27"/>
    <col collapsed="false" customWidth="true" hidden="false" outlineLevel="0" max="5" min="5" style="1" width="40"/>
    <col collapsed="false" customWidth="true" hidden="false" outlineLevel="0" max="6" min="6" style="1" width="10"/>
    <col collapsed="false" customWidth="true" hidden="false" outlineLevel="0" max="7" min="7" style="1" width="15"/>
    <col collapsed="false" customWidth="true" hidden="false" outlineLevel="0" max="8" min="8" style="1" width="24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26"/>
    <col collapsed="false" customWidth="true" hidden="false" outlineLevel="0" max="12" min="12" style="1" width="14"/>
    <col collapsed="false" customWidth="true" hidden="false" outlineLevel="0" max="13" min="13" style="1" width="30"/>
  </cols>
  <sheetData>
    <row r="1" customFormat="false" ht="24" hidden="false" customHeight="true" outlineLevel="0" collapsed="false">
      <c r="A1" s="12" t="s">
        <v>1217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5.75" hidden="false" customHeight="true" outlineLevel="0" collapsed="false">
      <c r="A2" s="13" t="s">
        <v>1218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customFormat="false" ht="13.5" hidden="false" customHeight="true" outlineLevel="0" collapsed="false">
      <c r="A3" s="14" t="s">
        <v>444</v>
      </c>
      <c r="B3" s="14"/>
      <c r="C3" s="14"/>
      <c r="D3" s="14"/>
      <c r="E3" s="14"/>
      <c r="H3" s="15" t="s">
        <v>3</v>
      </c>
      <c r="I3" s="16" t="n">
        <f aca="false">COUNTA($A$6:$A$32)</f>
        <v>27</v>
      </c>
      <c r="J3" s="15" t="s">
        <v>4</v>
      </c>
      <c r="K3" s="16" t="n">
        <f aca="false">COUNTIF($F$6:$F$32,"High")</f>
        <v>0</v>
      </c>
      <c r="L3" s="15" t="s">
        <v>5</v>
      </c>
      <c r="M3" s="16" t="n">
        <f aca="false">COUNTA($G$6:$G$32)-COUNTIF($G$6:$G$32,"Not started")-COUNTIF($G$6:$G$32,"Pass")</f>
        <v>0</v>
      </c>
    </row>
    <row r="4" customFormat="false" ht="6" hidden="false" customHeight="true" outlineLevel="0" collapsed="false"/>
    <row r="5" customFormat="false" ht="27.75" hidden="false" customHeight="true" outlineLevel="0" collapsed="false">
      <c r="A5" s="17" t="s">
        <v>1219</v>
      </c>
      <c r="B5" s="17" t="s">
        <v>1220</v>
      </c>
      <c r="C5" s="17" t="s">
        <v>385</v>
      </c>
      <c r="D5" s="17" t="s">
        <v>386</v>
      </c>
      <c r="E5" s="17" t="s">
        <v>11</v>
      </c>
      <c r="F5" s="17" t="s">
        <v>14</v>
      </c>
      <c r="G5" s="17" t="s">
        <v>15</v>
      </c>
      <c r="H5" s="17" t="s">
        <v>387</v>
      </c>
      <c r="I5" s="17" t="s">
        <v>388</v>
      </c>
      <c r="J5" s="17" t="s">
        <v>389</v>
      </c>
      <c r="K5" s="17" t="s">
        <v>16</v>
      </c>
      <c r="L5" s="17" t="s">
        <v>17</v>
      </c>
      <c r="M5" s="17" t="s">
        <v>390</v>
      </c>
    </row>
    <row r="6" customFormat="false" ht="39.75" hidden="false" customHeight="true" outlineLevel="0" collapsed="false">
      <c r="A6" s="44" t="s">
        <v>248</v>
      </c>
      <c r="B6" s="45" t="s">
        <v>250</v>
      </c>
      <c r="C6" s="46" t="s">
        <v>1221</v>
      </c>
      <c r="D6" s="46" t="s">
        <v>1222</v>
      </c>
      <c r="E6" s="46" t="s">
        <v>252</v>
      </c>
      <c r="F6" s="26"/>
      <c r="G6" s="27"/>
      <c r="H6" s="27"/>
      <c r="I6" s="27"/>
      <c r="J6" s="28"/>
      <c r="K6" s="27"/>
      <c r="L6" s="28"/>
      <c r="M6" s="27"/>
    </row>
    <row r="7" customFormat="false" ht="39.75" hidden="false" customHeight="true" outlineLevel="0" collapsed="false">
      <c r="A7" s="44" t="s">
        <v>255</v>
      </c>
      <c r="B7" s="45" t="s">
        <v>256</v>
      </c>
      <c r="C7" s="46" t="s">
        <v>1223</v>
      </c>
      <c r="D7" s="46" t="s">
        <v>1224</v>
      </c>
      <c r="E7" s="46" t="s">
        <v>1225</v>
      </c>
      <c r="F7" s="26"/>
      <c r="G7" s="27"/>
      <c r="H7" s="27"/>
      <c r="I7" s="27"/>
      <c r="J7" s="28"/>
      <c r="K7" s="27"/>
      <c r="L7" s="28"/>
      <c r="M7" s="27"/>
    </row>
    <row r="8" customFormat="false" ht="39.75" hidden="false" customHeight="true" outlineLevel="0" collapsed="false">
      <c r="A8" s="44" t="s">
        <v>260</v>
      </c>
      <c r="B8" s="45" t="s">
        <v>261</v>
      </c>
      <c r="C8" s="46" t="s">
        <v>1226</v>
      </c>
      <c r="D8" s="46" t="s">
        <v>1227</v>
      </c>
      <c r="E8" s="46" t="s">
        <v>263</v>
      </c>
      <c r="F8" s="26"/>
      <c r="G8" s="27"/>
      <c r="H8" s="27"/>
      <c r="I8" s="27"/>
      <c r="J8" s="28"/>
      <c r="K8" s="27"/>
      <c r="L8" s="28"/>
      <c r="M8" s="27"/>
    </row>
    <row r="9" customFormat="false" ht="39.75" hidden="false" customHeight="true" outlineLevel="0" collapsed="false">
      <c r="A9" s="44" t="s">
        <v>264</v>
      </c>
      <c r="B9" s="45" t="s">
        <v>261</v>
      </c>
      <c r="C9" s="46" t="s">
        <v>1228</v>
      </c>
      <c r="D9" s="46" t="s">
        <v>1229</v>
      </c>
      <c r="E9" s="46" t="s">
        <v>267</v>
      </c>
      <c r="F9" s="26"/>
      <c r="G9" s="27"/>
      <c r="H9" s="27"/>
      <c r="I9" s="27"/>
      <c r="J9" s="28"/>
      <c r="K9" s="27"/>
      <c r="L9" s="28"/>
      <c r="M9" s="27"/>
    </row>
    <row r="10" customFormat="false" ht="39.75" hidden="false" customHeight="true" outlineLevel="0" collapsed="false">
      <c r="A10" s="44" t="s">
        <v>269</v>
      </c>
      <c r="B10" s="45" t="s">
        <v>261</v>
      </c>
      <c r="C10" s="46" t="s">
        <v>1230</v>
      </c>
      <c r="D10" s="46" t="s">
        <v>1231</v>
      </c>
      <c r="E10" s="46" t="s">
        <v>271</v>
      </c>
      <c r="F10" s="26"/>
      <c r="G10" s="27"/>
      <c r="H10" s="27"/>
      <c r="I10" s="27"/>
      <c r="J10" s="28"/>
      <c r="K10" s="27"/>
      <c r="L10" s="28"/>
      <c r="M10" s="27"/>
    </row>
    <row r="11" customFormat="false" ht="39.75" hidden="false" customHeight="true" outlineLevel="0" collapsed="false">
      <c r="A11" s="44" t="s">
        <v>274</v>
      </c>
      <c r="B11" s="45" t="s">
        <v>261</v>
      </c>
      <c r="C11" s="46" t="s">
        <v>1232</v>
      </c>
      <c r="D11" s="46" t="s">
        <v>1233</v>
      </c>
      <c r="E11" s="46" t="s">
        <v>276</v>
      </c>
      <c r="F11" s="26"/>
      <c r="G11" s="27"/>
      <c r="H11" s="27"/>
      <c r="I11" s="27"/>
      <c r="J11" s="28"/>
      <c r="K11" s="27"/>
      <c r="L11" s="28"/>
      <c r="M11" s="27"/>
    </row>
    <row r="12" customFormat="false" ht="39.75" hidden="false" customHeight="true" outlineLevel="0" collapsed="false">
      <c r="A12" s="44" t="s">
        <v>278</v>
      </c>
      <c r="B12" s="45" t="s">
        <v>279</v>
      </c>
      <c r="C12" s="46" t="s">
        <v>1234</v>
      </c>
      <c r="D12" s="46" t="s">
        <v>1235</v>
      </c>
      <c r="E12" s="46" t="s">
        <v>281</v>
      </c>
      <c r="F12" s="26"/>
      <c r="G12" s="27"/>
      <c r="H12" s="27"/>
      <c r="I12" s="27"/>
      <c r="J12" s="28"/>
      <c r="K12" s="27"/>
      <c r="L12" s="28"/>
      <c r="M12" s="27"/>
    </row>
    <row r="13" customFormat="false" ht="39.75" hidden="false" customHeight="true" outlineLevel="0" collapsed="false">
      <c r="A13" s="44" t="s">
        <v>283</v>
      </c>
      <c r="B13" s="45" t="s">
        <v>261</v>
      </c>
      <c r="C13" s="46" t="s">
        <v>1236</v>
      </c>
      <c r="D13" s="46" t="s">
        <v>1229</v>
      </c>
      <c r="E13" s="46" t="s">
        <v>285</v>
      </c>
      <c r="F13" s="26"/>
      <c r="G13" s="27"/>
      <c r="H13" s="27"/>
      <c r="I13" s="27"/>
      <c r="J13" s="28"/>
      <c r="K13" s="27"/>
      <c r="L13" s="28"/>
      <c r="M13" s="27"/>
    </row>
    <row r="14" customFormat="false" ht="39.75" hidden="false" customHeight="true" outlineLevel="0" collapsed="false">
      <c r="A14" s="44" t="s">
        <v>286</v>
      </c>
      <c r="B14" s="45" t="s">
        <v>261</v>
      </c>
      <c r="C14" s="46" t="s">
        <v>1237</v>
      </c>
      <c r="D14" s="46" t="s">
        <v>1238</v>
      </c>
      <c r="E14" s="46" t="s">
        <v>1239</v>
      </c>
      <c r="F14" s="26"/>
      <c r="G14" s="27"/>
      <c r="H14" s="27"/>
      <c r="I14" s="27"/>
      <c r="J14" s="28"/>
      <c r="K14" s="27"/>
      <c r="L14" s="28"/>
      <c r="M14" s="27"/>
    </row>
    <row r="15" customFormat="false" ht="39.75" hidden="false" customHeight="true" outlineLevel="0" collapsed="false">
      <c r="A15" s="44" t="s">
        <v>290</v>
      </c>
      <c r="B15" s="45" t="s">
        <v>291</v>
      </c>
      <c r="C15" s="46" t="s">
        <v>1240</v>
      </c>
      <c r="D15" s="46" t="s">
        <v>1241</v>
      </c>
      <c r="E15" s="46" t="s">
        <v>294</v>
      </c>
      <c r="F15" s="26"/>
      <c r="G15" s="27"/>
      <c r="H15" s="27"/>
      <c r="I15" s="27"/>
      <c r="J15" s="28"/>
      <c r="K15" s="27"/>
      <c r="L15" s="28"/>
      <c r="M15" s="27"/>
    </row>
    <row r="16" customFormat="false" ht="39.75" hidden="false" customHeight="true" outlineLevel="0" collapsed="false">
      <c r="A16" s="44" t="s">
        <v>296</v>
      </c>
      <c r="B16" s="45" t="s">
        <v>261</v>
      </c>
      <c r="C16" s="46" t="s">
        <v>297</v>
      </c>
      <c r="D16" s="46" t="s">
        <v>1242</v>
      </c>
      <c r="E16" s="46" t="s">
        <v>298</v>
      </c>
      <c r="F16" s="26"/>
      <c r="G16" s="27"/>
      <c r="H16" s="27"/>
      <c r="I16" s="27"/>
      <c r="J16" s="28"/>
      <c r="K16" s="27"/>
      <c r="L16" s="28"/>
      <c r="M16" s="27"/>
    </row>
    <row r="17" customFormat="false" ht="39.75" hidden="false" customHeight="true" outlineLevel="0" collapsed="false">
      <c r="A17" s="44" t="s">
        <v>299</v>
      </c>
      <c r="B17" s="45" t="s">
        <v>261</v>
      </c>
      <c r="C17" s="46" t="s">
        <v>1243</v>
      </c>
      <c r="D17" s="46" t="s">
        <v>1244</v>
      </c>
      <c r="E17" s="46" t="s">
        <v>1245</v>
      </c>
      <c r="F17" s="26"/>
      <c r="G17" s="27"/>
      <c r="H17" s="27"/>
      <c r="I17" s="27"/>
      <c r="J17" s="28"/>
      <c r="K17" s="27"/>
      <c r="L17" s="28"/>
      <c r="M17" s="27"/>
    </row>
    <row r="18" customFormat="false" ht="39.75" hidden="false" customHeight="true" outlineLevel="0" collapsed="false">
      <c r="A18" s="44" t="s">
        <v>305</v>
      </c>
      <c r="B18" s="45" t="s">
        <v>306</v>
      </c>
      <c r="C18" s="46" t="s">
        <v>1246</v>
      </c>
      <c r="D18" s="46" t="s">
        <v>1247</v>
      </c>
      <c r="E18" s="46" t="s">
        <v>309</v>
      </c>
      <c r="F18" s="26"/>
      <c r="G18" s="27"/>
      <c r="H18" s="27"/>
      <c r="I18" s="27"/>
      <c r="J18" s="28"/>
      <c r="K18" s="27"/>
      <c r="L18" s="28"/>
      <c r="M18" s="27"/>
    </row>
    <row r="19" customFormat="false" ht="39.75" hidden="false" customHeight="true" outlineLevel="0" collapsed="false">
      <c r="A19" s="44" t="s">
        <v>312</v>
      </c>
      <c r="B19" s="45" t="s">
        <v>306</v>
      </c>
      <c r="C19" s="46" t="s">
        <v>1248</v>
      </c>
      <c r="D19" s="46" t="s">
        <v>1249</v>
      </c>
      <c r="E19" s="46" t="s">
        <v>1250</v>
      </c>
      <c r="F19" s="26"/>
      <c r="G19" s="27"/>
      <c r="H19" s="27"/>
      <c r="I19" s="27"/>
      <c r="J19" s="28"/>
      <c r="K19" s="27"/>
      <c r="L19" s="28"/>
      <c r="M19" s="27"/>
    </row>
    <row r="20" customFormat="false" ht="39.75" hidden="false" customHeight="true" outlineLevel="0" collapsed="false">
      <c r="A20" s="44" t="s">
        <v>316</v>
      </c>
      <c r="B20" s="45" t="s">
        <v>261</v>
      </c>
      <c r="C20" s="46" t="s">
        <v>1251</v>
      </c>
      <c r="D20" s="46" t="s">
        <v>1229</v>
      </c>
      <c r="E20" s="46" t="s">
        <v>318</v>
      </c>
      <c r="F20" s="26"/>
      <c r="G20" s="27"/>
      <c r="H20" s="27"/>
      <c r="I20" s="27"/>
      <c r="J20" s="28"/>
      <c r="K20" s="27"/>
      <c r="L20" s="28"/>
      <c r="M20" s="27"/>
    </row>
    <row r="21" customFormat="false" ht="39.75" hidden="false" customHeight="true" outlineLevel="0" collapsed="false">
      <c r="A21" s="44" t="s">
        <v>319</v>
      </c>
      <c r="B21" s="45" t="s">
        <v>261</v>
      </c>
      <c r="C21" s="46" t="s">
        <v>1252</v>
      </c>
      <c r="D21" s="46" t="s">
        <v>1253</v>
      </c>
      <c r="E21" s="46" t="s">
        <v>1254</v>
      </c>
      <c r="F21" s="26"/>
      <c r="G21" s="27"/>
      <c r="H21" s="27"/>
      <c r="I21" s="27"/>
      <c r="J21" s="28"/>
      <c r="K21" s="27"/>
      <c r="L21" s="28"/>
      <c r="M21" s="27"/>
    </row>
    <row r="22" customFormat="false" ht="39.75" hidden="false" customHeight="true" outlineLevel="0" collapsed="false">
      <c r="A22" s="44" t="s">
        <v>323</v>
      </c>
      <c r="B22" s="45" t="s">
        <v>324</v>
      </c>
      <c r="C22" s="46" t="s">
        <v>1255</v>
      </c>
      <c r="D22" s="46" t="s">
        <v>1256</v>
      </c>
      <c r="E22" s="46" t="s">
        <v>1257</v>
      </c>
      <c r="F22" s="26"/>
      <c r="G22" s="27"/>
      <c r="H22" s="27"/>
      <c r="I22" s="27"/>
      <c r="J22" s="28"/>
      <c r="K22" s="27"/>
      <c r="L22" s="28"/>
      <c r="M22" s="27"/>
    </row>
    <row r="23" customFormat="false" ht="39.75" hidden="false" customHeight="true" outlineLevel="0" collapsed="false">
      <c r="A23" s="44" t="s">
        <v>329</v>
      </c>
      <c r="B23" s="45" t="s">
        <v>324</v>
      </c>
      <c r="C23" s="46" t="s">
        <v>1258</v>
      </c>
      <c r="D23" s="46" t="s">
        <v>1229</v>
      </c>
      <c r="E23" s="46" t="s">
        <v>1259</v>
      </c>
      <c r="F23" s="26"/>
      <c r="G23" s="27"/>
      <c r="H23" s="27"/>
      <c r="I23" s="27"/>
      <c r="J23" s="28"/>
      <c r="K23" s="27"/>
      <c r="L23" s="28"/>
      <c r="M23" s="27"/>
    </row>
    <row r="24" customFormat="false" ht="39.75" hidden="false" customHeight="true" outlineLevel="0" collapsed="false">
      <c r="A24" s="44" t="s">
        <v>332</v>
      </c>
      <c r="B24" s="45" t="s">
        <v>324</v>
      </c>
      <c r="C24" s="46" t="s">
        <v>1260</v>
      </c>
      <c r="D24" s="46" t="s">
        <v>1229</v>
      </c>
      <c r="E24" s="46" t="s">
        <v>1261</v>
      </c>
      <c r="F24" s="26"/>
      <c r="G24" s="27"/>
      <c r="H24" s="27"/>
      <c r="I24" s="27"/>
      <c r="J24" s="28"/>
      <c r="K24" s="27"/>
      <c r="L24" s="28"/>
      <c r="M24" s="27"/>
    </row>
    <row r="25" customFormat="false" ht="39.75" hidden="false" customHeight="true" outlineLevel="0" collapsed="false">
      <c r="A25" s="44" t="s">
        <v>336</v>
      </c>
      <c r="B25" s="45" t="s">
        <v>337</v>
      </c>
      <c r="C25" s="46" t="s">
        <v>1262</v>
      </c>
      <c r="D25" s="46" t="s">
        <v>1229</v>
      </c>
      <c r="E25" s="46" t="s">
        <v>1263</v>
      </c>
      <c r="F25" s="26"/>
      <c r="G25" s="27"/>
      <c r="H25" s="27"/>
      <c r="I25" s="27"/>
      <c r="J25" s="28"/>
      <c r="K25" s="27"/>
      <c r="L25" s="28"/>
      <c r="M25" s="27"/>
    </row>
    <row r="26" customFormat="false" ht="39.75" hidden="false" customHeight="true" outlineLevel="0" collapsed="false">
      <c r="A26" s="44" t="s">
        <v>342</v>
      </c>
      <c r="B26" s="45" t="s">
        <v>343</v>
      </c>
      <c r="C26" s="46" t="s">
        <v>1264</v>
      </c>
      <c r="D26" s="46" t="s">
        <v>1265</v>
      </c>
      <c r="E26" s="46" t="s">
        <v>1266</v>
      </c>
      <c r="F26" s="26"/>
      <c r="G26" s="27"/>
      <c r="H26" s="27"/>
      <c r="I26" s="27"/>
      <c r="J26" s="28"/>
      <c r="K26" s="27"/>
      <c r="L26" s="28"/>
      <c r="M26" s="27"/>
    </row>
    <row r="27" customFormat="false" ht="39.75" hidden="false" customHeight="true" outlineLevel="0" collapsed="false">
      <c r="A27" s="44" t="s">
        <v>347</v>
      </c>
      <c r="B27" s="45" t="s">
        <v>256</v>
      </c>
      <c r="C27" s="46" t="s">
        <v>1267</v>
      </c>
      <c r="D27" s="46" t="s">
        <v>1268</v>
      </c>
      <c r="E27" s="46" t="s">
        <v>1269</v>
      </c>
      <c r="F27" s="26"/>
      <c r="G27" s="27"/>
      <c r="H27" s="27"/>
      <c r="I27" s="27"/>
      <c r="J27" s="28"/>
      <c r="K27" s="27"/>
      <c r="L27" s="28"/>
      <c r="M27" s="27"/>
    </row>
    <row r="28" customFormat="false" ht="39.75" hidden="false" customHeight="true" outlineLevel="0" collapsed="false">
      <c r="A28" s="44" t="s">
        <v>351</v>
      </c>
      <c r="B28" s="45" t="s">
        <v>352</v>
      </c>
      <c r="C28" s="46" t="s">
        <v>1270</v>
      </c>
      <c r="D28" s="46" t="s">
        <v>1271</v>
      </c>
      <c r="E28" s="46" t="s">
        <v>1272</v>
      </c>
      <c r="F28" s="26"/>
      <c r="G28" s="27"/>
      <c r="H28" s="27"/>
      <c r="I28" s="27"/>
      <c r="J28" s="28"/>
      <c r="K28" s="27"/>
      <c r="L28" s="28"/>
      <c r="M28" s="27"/>
    </row>
    <row r="29" customFormat="false" ht="39.75" hidden="false" customHeight="true" outlineLevel="0" collapsed="false">
      <c r="A29" s="44" t="s">
        <v>357</v>
      </c>
      <c r="B29" s="45" t="s">
        <v>261</v>
      </c>
      <c r="C29" s="46" t="s">
        <v>1273</v>
      </c>
      <c r="D29" s="46" t="s">
        <v>1274</v>
      </c>
      <c r="E29" s="46" t="s">
        <v>1275</v>
      </c>
      <c r="F29" s="26"/>
      <c r="G29" s="27"/>
      <c r="H29" s="27"/>
      <c r="I29" s="27"/>
      <c r="J29" s="28"/>
      <c r="K29" s="27"/>
      <c r="L29" s="28"/>
      <c r="M29" s="27"/>
    </row>
    <row r="30" customFormat="false" ht="39.75" hidden="false" customHeight="true" outlineLevel="0" collapsed="false">
      <c r="A30" s="44" t="s">
        <v>361</v>
      </c>
      <c r="B30" s="45" t="s">
        <v>362</v>
      </c>
      <c r="C30" s="46" t="s">
        <v>1276</v>
      </c>
      <c r="D30" s="46" t="s">
        <v>1277</v>
      </c>
      <c r="E30" s="46" t="s">
        <v>365</v>
      </c>
      <c r="F30" s="26"/>
      <c r="G30" s="27"/>
      <c r="H30" s="27"/>
      <c r="I30" s="27"/>
      <c r="J30" s="28"/>
      <c r="K30" s="27"/>
      <c r="L30" s="28"/>
      <c r="M30" s="27"/>
    </row>
    <row r="31" customFormat="false" ht="39.75" hidden="false" customHeight="true" outlineLevel="0" collapsed="false">
      <c r="A31" s="44" t="s">
        <v>367</v>
      </c>
      <c r="B31" s="45" t="s">
        <v>368</v>
      </c>
      <c r="C31" s="46" t="s">
        <v>1278</v>
      </c>
      <c r="D31" s="46" t="s">
        <v>1279</v>
      </c>
      <c r="E31" s="46" t="s">
        <v>1280</v>
      </c>
      <c r="F31" s="26"/>
      <c r="G31" s="27"/>
      <c r="H31" s="27"/>
      <c r="I31" s="27"/>
      <c r="J31" s="28"/>
      <c r="K31" s="27"/>
      <c r="L31" s="28"/>
      <c r="M31" s="27"/>
    </row>
    <row r="32" customFormat="false" ht="39.75" hidden="false" customHeight="true" outlineLevel="0" collapsed="false">
      <c r="A32" s="44" t="s">
        <v>373</v>
      </c>
      <c r="B32" s="45" t="s">
        <v>374</v>
      </c>
      <c r="C32" s="46" t="s">
        <v>1281</v>
      </c>
      <c r="D32" s="46" t="s">
        <v>1282</v>
      </c>
      <c r="E32" s="46" t="s">
        <v>1283</v>
      </c>
      <c r="F32" s="26"/>
      <c r="G32" s="27"/>
      <c r="H32" s="27"/>
      <c r="I32" s="27"/>
      <c r="J32" s="28"/>
      <c r="K32" s="27"/>
      <c r="L32" s="28"/>
      <c r="M32" s="27"/>
    </row>
    <row r="34" customFormat="false" ht="48" hidden="false" customHeight="true" outlineLevel="0" collapsed="false">
      <c r="A34" s="11" t="s">
        <v>1284</v>
      </c>
    </row>
  </sheetData>
  <autoFilter ref="A5:M20"/>
  <mergeCells count="3">
    <mergeCell ref="A1:M1"/>
    <mergeCell ref="A2:M2"/>
    <mergeCell ref="A3:E3"/>
  </mergeCells>
  <conditionalFormatting sqref="G6:G20">
    <cfRule type="cellIs" priority="2" operator="equal" aboveAverage="0" equalAverage="0" bottom="0" percent="0" rank="0" text="" dxfId="7">
      <formula>"Offer"</formula>
    </cfRule>
    <cfRule type="cellIs" priority="3" operator="equal" aboveAverage="0" equalAverage="0" bottom="0" percent="0" rank="0" text="" dxfId="8">
      <formula>"Interviewing"</formula>
    </cfRule>
    <cfRule type="cellIs" priority="4" operator="equal" aboveAverage="0" equalAverage="0" bottom="0" percent="0" rank="0" text="" dxfId="9">
      <formula>"Follow-up due"</formula>
    </cfRule>
    <cfRule type="cellIs" priority="5" operator="equal" aboveAverage="0" equalAverage="0" bottom="0" percent="0" rank="0" text="" dxfId="10">
      <formula>"Pass"</formula>
    </cfRule>
  </conditionalFormatting>
  <dataValidations count="2">
    <dataValidation allowBlank="true" errorStyle="stop" operator="between" showDropDown="false" showErrorMessage="false" showInputMessage="false" sqref="F6:F20" type="list">
      <formula1>"High,Medium,Low"</formula1>
      <formula2>0</formula2>
    </dataValidation>
    <dataValidation allowBlank="true" errorStyle="stop" operator="between" showDropDown="false" showErrorMessage="false" showInputMessage="false" sqref="G6:G20" type="list">
      <formula1>"Not started,Researching,Outreach sent,Chat scheduled,Chat done,Follow-up due,Interviewing,Closed list,Offer,Pass"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7CC3"/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34"/>
    <col collapsed="false" customWidth="true" hidden="false" outlineLevel="0" max="7" min="7" style="1" width="36"/>
    <col collapsed="false" customWidth="true" hidden="false" outlineLevel="0" max="8" min="8" style="1" width="26"/>
    <col collapsed="false" customWidth="true" hidden="false" outlineLevel="0" max="9" min="9" style="1" width="28"/>
    <col collapsed="false" customWidth="true" hidden="false" outlineLevel="0" max="11" min="10" style="1" width="30"/>
    <col collapsed="false" customWidth="true" hidden="false" outlineLevel="0" max="13" min="12" style="1" width="26"/>
    <col collapsed="false" customWidth="true" hidden="false" outlineLevel="0" max="14" min="14" style="1" width="10"/>
    <col collapsed="false" customWidth="true" hidden="false" outlineLevel="0" max="15" min="15" style="1" width="34"/>
  </cols>
  <sheetData>
    <row r="1" customFormat="false" ht="24" hidden="false" customHeight="true" outlineLevel="0" collapsed="false">
      <c r="A1" s="12" t="s">
        <v>1285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.75" hidden="false" customHeight="true" outlineLevel="0" collapsed="false">
      <c r="A2" s="13" t="s">
        <v>1286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4" customFormat="false" ht="27.75" hidden="false" customHeight="true" outlineLevel="0" collapsed="false">
      <c r="A4" s="17" t="s">
        <v>1219</v>
      </c>
      <c r="B4" s="17" t="s">
        <v>1287</v>
      </c>
      <c r="C4" s="17" t="s">
        <v>515</v>
      </c>
      <c r="D4" s="17" t="s">
        <v>15</v>
      </c>
      <c r="E4" s="17" t="s">
        <v>1288</v>
      </c>
      <c r="F4" s="17" t="s">
        <v>1289</v>
      </c>
      <c r="G4" s="17" t="s">
        <v>1290</v>
      </c>
      <c r="H4" s="17" t="s">
        <v>1291</v>
      </c>
      <c r="I4" s="17" t="s">
        <v>1292</v>
      </c>
      <c r="J4" s="17" t="s">
        <v>1293</v>
      </c>
      <c r="K4" s="17" t="s">
        <v>1294</v>
      </c>
      <c r="L4" s="17" t="s">
        <v>1295</v>
      </c>
      <c r="M4" s="17" t="s">
        <v>1296</v>
      </c>
      <c r="N4" s="17" t="s">
        <v>14</v>
      </c>
      <c r="O4" s="17" t="s">
        <v>1297</v>
      </c>
    </row>
    <row r="5" customFormat="false" ht="84" hidden="false" customHeight="true" outlineLevel="0" collapsed="false">
      <c r="A5" s="47" t="s">
        <v>269</v>
      </c>
      <c r="B5" s="48" t="s">
        <v>1126</v>
      </c>
      <c r="C5" s="49" t="s">
        <v>9</v>
      </c>
      <c r="D5" s="49" t="s">
        <v>1298</v>
      </c>
      <c r="E5" s="48" t="s">
        <v>1299</v>
      </c>
      <c r="F5" s="48" t="s">
        <v>1300</v>
      </c>
      <c r="G5" s="48" t="s">
        <v>1301</v>
      </c>
      <c r="H5" s="48" t="s">
        <v>1302</v>
      </c>
      <c r="I5" s="48" t="s">
        <v>1303</v>
      </c>
      <c r="J5" s="48" t="s">
        <v>1304</v>
      </c>
      <c r="K5" s="48" t="s">
        <v>1305</v>
      </c>
      <c r="L5" s="48" t="s">
        <v>1306</v>
      </c>
      <c r="M5" s="48" t="s">
        <v>1307</v>
      </c>
      <c r="N5" s="49" t="s">
        <v>527</v>
      </c>
      <c r="O5" s="48" t="s">
        <v>1308</v>
      </c>
    </row>
    <row r="6" customFormat="false" ht="84" hidden="false" customHeight="true" outlineLevel="0" collapsed="false">
      <c r="A6" s="47" t="s">
        <v>260</v>
      </c>
      <c r="B6" s="48" t="s">
        <v>562</v>
      </c>
      <c r="C6" s="49" t="s">
        <v>9</v>
      </c>
      <c r="D6" s="49" t="s">
        <v>1298</v>
      </c>
      <c r="E6" s="48" t="s">
        <v>1309</v>
      </c>
      <c r="F6" s="48" t="s">
        <v>1310</v>
      </c>
      <c r="G6" s="48" t="s">
        <v>1311</v>
      </c>
      <c r="H6" s="48" t="s">
        <v>1312</v>
      </c>
      <c r="I6" s="48" t="s">
        <v>1313</v>
      </c>
      <c r="J6" s="48" t="s">
        <v>1314</v>
      </c>
      <c r="K6" s="48" t="s">
        <v>1315</v>
      </c>
      <c r="L6" s="48" t="s">
        <v>1316</v>
      </c>
      <c r="M6" s="48" t="s">
        <v>1317</v>
      </c>
      <c r="N6" s="49" t="s">
        <v>527</v>
      </c>
      <c r="O6" s="48" t="s">
        <v>1318</v>
      </c>
    </row>
    <row r="7" customFormat="false" ht="84" hidden="false" customHeight="true" outlineLevel="0" collapsed="false">
      <c r="A7" s="47" t="s">
        <v>264</v>
      </c>
      <c r="B7" s="48" t="s">
        <v>1319</v>
      </c>
      <c r="C7" s="49" t="s">
        <v>9</v>
      </c>
      <c r="D7" s="49" t="s">
        <v>1298</v>
      </c>
      <c r="E7" s="48" t="s">
        <v>1320</v>
      </c>
      <c r="F7" s="48" t="s">
        <v>1321</v>
      </c>
      <c r="G7" s="48" t="s">
        <v>1322</v>
      </c>
      <c r="H7" s="48" t="s">
        <v>1323</v>
      </c>
      <c r="I7" s="48" t="s">
        <v>1324</v>
      </c>
      <c r="J7" s="48" t="s">
        <v>1325</v>
      </c>
      <c r="K7" s="48" t="s">
        <v>1326</v>
      </c>
      <c r="L7" s="48" t="s">
        <v>1306</v>
      </c>
      <c r="M7" s="48" t="s">
        <v>1327</v>
      </c>
      <c r="N7" s="49" t="s">
        <v>527</v>
      </c>
      <c r="O7" s="48" t="s">
        <v>1328</v>
      </c>
    </row>
    <row r="8" customFormat="false" ht="84" hidden="false" customHeight="true" outlineLevel="0" collapsed="false">
      <c r="A8" s="47" t="s">
        <v>248</v>
      </c>
      <c r="B8" s="48" t="s">
        <v>562</v>
      </c>
      <c r="C8" s="49" t="s">
        <v>9</v>
      </c>
      <c r="D8" s="49" t="s">
        <v>1298</v>
      </c>
      <c r="E8" s="48" t="s">
        <v>1329</v>
      </c>
      <c r="F8" s="48" t="s">
        <v>1330</v>
      </c>
      <c r="G8" s="48" t="s">
        <v>1331</v>
      </c>
      <c r="H8" s="48" t="s">
        <v>1332</v>
      </c>
      <c r="I8" s="48" t="s">
        <v>1333</v>
      </c>
      <c r="J8" s="48" t="s">
        <v>1334</v>
      </c>
      <c r="K8" s="48" t="s">
        <v>1335</v>
      </c>
      <c r="L8" s="48" t="s">
        <v>1336</v>
      </c>
      <c r="M8" s="48" t="s">
        <v>1337</v>
      </c>
      <c r="N8" s="49" t="s">
        <v>527</v>
      </c>
      <c r="O8" s="48" t="s">
        <v>1338</v>
      </c>
    </row>
    <row r="9" customFormat="false" ht="84" hidden="false" customHeight="true" outlineLevel="0" collapsed="false">
      <c r="A9" s="47" t="s">
        <v>283</v>
      </c>
      <c r="B9" s="48" t="s">
        <v>562</v>
      </c>
      <c r="C9" s="49" t="s">
        <v>9</v>
      </c>
      <c r="D9" s="49" t="s">
        <v>1298</v>
      </c>
      <c r="E9" s="48" t="s">
        <v>1309</v>
      </c>
      <c r="F9" s="48" t="s">
        <v>1339</v>
      </c>
      <c r="G9" s="48" t="s">
        <v>1340</v>
      </c>
      <c r="H9" s="48" t="s">
        <v>1341</v>
      </c>
      <c r="I9" s="48" t="s">
        <v>1342</v>
      </c>
      <c r="J9" s="48" t="s">
        <v>1343</v>
      </c>
      <c r="K9" s="48" t="s">
        <v>1344</v>
      </c>
      <c r="L9" s="48" t="s">
        <v>1345</v>
      </c>
      <c r="M9" s="48" t="s">
        <v>1346</v>
      </c>
      <c r="N9" s="49" t="s">
        <v>527</v>
      </c>
      <c r="O9" s="48"/>
    </row>
    <row r="10" customFormat="false" ht="84" hidden="false" customHeight="true" outlineLevel="0" collapsed="false">
      <c r="A10" s="47" t="s">
        <v>1347</v>
      </c>
      <c r="B10" s="48" t="s">
        <v>562</v>
      </c>
      <c r="C10" s="49" t="s">
        <v>9</v>
      </c>
      <c r="D10" s="49" t="s">
        <v>1348</v>
      </c>
      <c r="E10" s="48" t="s">
        <v>1349</v>
      </c>
      <c r="F10" s="48" t="s">
        <v>1350</v>
      </c>
      <c r="G10" s="48" t="s">
        <v>1351</v>
      </c>
      <c r="H10" s="48" t="s">
        <v>1352</v>
      </c>
      <c r="I10" s="48" t="s">
        <v>1353</v>
      </c>
      <c r="J10" s="48" t="s">
        <v>1354</v>
      </c>
      <c r="K10" s="48" t="s">
        <v>1355</v>
      </c>
      <c r="L10" s="48" t="s">
        <v>1306</v>
      </c>
      <c r="M10" s="48" t="s">
        <v>1356</v>
      </c>
      <c r="N10" s="49" t="s">
        <v>541</v>
      </c>
      <c r="O10" s="48" t="s">
        <v>1357</v>
      </c>
    </row>
    <row r="11" customFormat="false" ht="84" hidden="false" customHeight="true" outlineLevel="0" collapsed="false">
      <c r="A11" s="47" t="s">
        <v>1358</v>
      </c>
      <c r="B11" s="48" t="s">
        <v>562</v>
      </c>
      <c r="C11" s="49" t="s">
        <v>9</v>
      </c>
      <c r="D11" s="49" t="s">
        <v>1359</v>
      </c>
      <c r="E11" s="48" t="s">
        <v>1309</v>
      </c>
      <c r="F11" s="48" t="s">
        <v>1360</v>
      </c>
      <c r="G11" s="48" t="s">
        <v>1361</v>
      </c>
      <c r="H11" s="48" t="s">
        <v>1362</v>
      </c>
      <c r="I11" s="48" t="s">
        <v>1363</v>
      </c>
      <c r="J11" s="48" t="s">
        <v>1364</v>
      </c>
      <c r="K11" s="48"/>
      <c r="L11" s="48" t="s">
        <v>1306</v>
      </c>
      <c r="M11" s="48" t="s">
        <v>1365</v>
      </c>
      <c r="N11" s="49" t="s">
        <v>587</v>
      </c>
      <c r="O11" s="48" t="s">
        <v>1366</v>
      </c>
    </row>
    <row r="12" customFormat="false" ht="84" hidden="false" customHeight="true" outlineLevel="0" collapsed="false">
      <c r="A12" s="47" t="s">
        <v>1367</v>
      </c>
      <c r="B12" s="48" t="s">
        <v>562</v>
      </c>
      <c r="C12" s="49" t="s">
        <v>9</v>
      </c>
      <c r="D12" s="49" t="s">
        <v>1298</v>
      </c>
      <c r="E12" s="48" t="s">
        <v>1368</v>
      </c>
      <c r="F12" s="48" t="s">
        <v>1369</v>
      </c>
      <c r="G12" s="48" t="s">
        <v>1370</v>
      </c>
      <c r="H12" s="48" t="s">
        <v>1371</v>
      </c>
      <c r="I12" s="48" t="s">
        <v>1372</v>
      </c>
      <c r="J12" s="48" t="s">
        <v>1373</v>
      </c>
      <c r="K12" s="48" t="s">
        <v>1374</v>
      </c>
      <c r="L12" s="48" t="s">
        <v>1306</v>
      </c>
      <c r="M12" s="48" t="s">
        <v>1375</v>
      </c>
      <c r="N12" s="49" t="s">
        <v>541</v>
      </c>
      <c r="O12" s="48" t="s">
        <v>1376</v>
      </c>
    </row>
    <row r="13" customFormat="false" ht="84" hidden="false" customHeight="true" outlineLevel="0" collapsed="false">
      <c r="A13" s="47" t="s">
        <v>286</v>
      </c>
      <c r="B13" s="48" t="s">
        <v>562</v>
      </c>
      <c r="C13" s="49" t="s">
        <v>9</v>
      </c>
      <c r="D13" s="49" t="s">
        <v>1298</v>
      </c>
      <c r="E13" s="48" t="s">
        <v>1320</v>
      </c>
      <c r="F13" s="48" t="s">
        <v>1377</v>
      </c>
      <c r="G13" s="48" t="s">
        <v>1378</v>
      </c>
      <c r="H13" s="48" t="s">
        <v>1379</v>
      </c>
      <c r="I13" s="48" t="s">
        <v>1380</v>
      </c>
      <c r="J13" s="48" t="s">
        <v>1381</v>
      </c>
      <c r="K13" s="48"/>
      <c r="L13" s="48" t="s">
        <v>1306</v>
      </c>
      <c r="M13" s="48" t="s">
        <v>1382</v>
      </c>
      <c r="N13" s="49" t="s">
        <v>541</v>
      </c>
      <c r="O13" s="48" t="s">
        <v>1383</v>
      </c>
    </row>
    <row r="14" customFormat="false" ht="84" hidden="false" customHeight="true" outlineLevel="0" collapsed="false">
      <c r="A14" s="47" t="s">
        <v>274</v>
      </c>
      <c r="B14" s="48" t="s">
        <v>562</v>
      </c>
      <c r="C14" s="49" t="s">
        <v>9</v>
      </c>
      <c r="D14" s="49" t="s">
        <v>1298</v>
      </c>
      <c r="E14" s="48" t="s">
        <v>1384</v>
      </c>
      <c r="F14" s="48" t="s">
        <v>1385</v>
      </c>
      <c r="G14" s="48" t="s">
        <v>1386</v>
      </c>
      <c r="H14" s="48" t="s">
        <v>1387</v>
      </c>
      <c r="I14" s="48" t="s">
        <v>1388</v>
      </c>
      <c r="J14" s="48" t="s">
        <v>1389</v>
      </c>
      <c r="K14" s="48" t="s">
        <v>1390</v>
      </c>
      <c r="L14" s="48" t="s">
        <v>1391</v>
      </c>
      <c r="M14" s="48" t="s">
        <v>1392</v>
      </c>
      <c r="N14" s="49" t="s">
        <v>527</v>
      </c>
      <c r="O14" s="48" t="s">
        <v>1393</v>
      </c>
    </row>
    <row r="15" customFormat="false" ht="84" hidden="false" customHeight="true" outlineLevel="0" collapsed="false">
      <c r="A15" s="47" t="s">
        <v>1394</v>
      </c>
      <c r="B15" s="48" t="s">
        <v>1395</v>
      </c>
      <c r="C15" s="49" t="s">
        <v>9</v>
      </c>
      <c r="D15" s="49" t="s">
        <v>1396</v>
      </c>
      <c r="E15" s="48" t="s">
        <v>1397</v>
      </c>
      <c r="F15" s="48" t="s">
        <v>1398</v>
      </c>
      <c r="G15" s="48" t="s">
        <v>1399</v>
      </c>
      <c r="H15" s="48" t="s">
        <v>1323</v>
      </c>
      <c r="I15" s="48" t="s">
        <v>1400</v>
      </c>
      <c r="J15" s="48" t="s">
        <v>1401</v>
      </c>
      <c r="K15" s="48" t="s">
        <v>1402</v>
      </c>
      <c r="L15" s="48" t="s">
        <v>1306</v>
      </c>
      <c r="M15" s="48" t="s">
        <v>1403</v>
      </c>
      <c r="N15" s="49" t="s">
        <v>541</v>
      </c>
      <c r="O15" s="48"/>
    </row>
    <row r="16" customFormat="false" ht="84" hidden="false" customHeight="true" outlineLevel="0" collapsed="false">
      <c r="A16" s="47" t="s">
        <v>1404</v>
      </c>
      <c r="B16" s="48" t="s">
        <v>562</v>
      </c>
      <c r="C16" s="49" t="s">
        <v>9</v>
      </c>
      <c r="D16" s="49" t="s">
        <v>1405</v>
      </c>
      <c r="E16" s="48" t="s">
        <v>1320</v>
      </c>
      <c r="F16" s="48" t="s">
        <v>1406</v>
      </c>
      <c r="G16" s="48" t="s">
        <v>1407</v>
      </c>
      <c r="H16" s="48" t="s">
        <v>1408</v>
      </c>
      <c r="I16" s="48" t="s">
        <v>1409</v>
      </c>
      <c r="J16" s="48" t="s">
        <v>1410</v>
      </c>
      <c r="K16" s="48" t="s">
        <v>1411</v>
      </c>
      <c r="L16" s="48" t="s">
        <v>1306</v>
      </c>
      <c r="M16" s="48" t="s">
        <v>1412</v>
      </c>
      <c r="N16" s="49" t="s">
        <v>587</v>
      </c>
      <c r="O16" s="48" t="s">
        <v>1413</v>
      </c>
    </row>
    <row r="17" customFormat="false" ht="84" hidden="false" customHeight="true" outlineLevel="0" collapsed="false">
      <c r="A17" s="29" t="s">
        <v>1414</v>
      </c>
      <c r="B17" s="31" t="s">
        <v>1415</v>
      </c>
      <c r="C17" s="30" t="s">
        <v>1416</v>
      </c>
      <c r="D17" s="30" t="s">
        <v>1298</v>
      </c>
      <c r="E17" s="31" t="s">
        <v>1417</v>
      </c>
      <c r="F17" s="31" t="s">
        <v>1418</v>
      </c>
      <c r="G17" s="31" t="s">
        <v>1419</v>
      </c>
      <c r="H17" s="31" t="s">
        <v>1420</v>
      </c>
      <c r="I17" s="31" t="s">
        <v>1421</v>
      </c>
      <c r="J17" s="31" t="s">
        <v>1422</v>
      </c>
      <c r="K17" s="31" t="s">
        <v>1423</v>
      </c>
      <c r="L17" s="31" t="s">
        <v>1306</v>
      </c>
      <c r="M17" s="31" t="s">
        <v>1424</v>
      </c>
      <c r="N17" s="30" t="s">
        <v>527</v>
      </c>
      <c r="O17" s="31" t="s">
        <v>1425</v>
      </c>
    </row>
    <row r="18" customFormat="false" ht="84" hidden="false" customHeight="true" outlineLevel="0" collapsed="false">
      <c r="A18" s="29" t="s">
        <v>367</v>
      </c>
      <c r="B18" s="31" t="s">
        <v>1426</v>
      </c>
      <c r="C18" s="30" t="s">
        <v>530</v>
      </c>
      <c r="D18" s="30" t="s">
        <v>1298</v>
      </c>
      <c r="E18" s="31" t="s">
        <v>1417</v>
      </c>
      <c r="F18" s="31" t="s">
        <v>1427</v>
      </c>
      <c r="G18" s="31" t="s">
        <v>1428</v>
      </c>
      <c r="H18" s="31" t="s">
        <v>1429</v>
      </c>
      <c r="I18" s="31" t="s">
        <v>1430</v>
      </c>
      <c r="J18" s="31" t="s">
        <v>1431</v>
      </c>
      <c r="K18" s="31" t="s">
        <v>1432</v>
      </c>
      <c r="L18" s="31" t="s">
        <v>1306</v>
      </c>
      <c r="M18" s="31" t="s">
        <v>1433</v>
      </c>
      <c r="N18" s="30" t="s">
        <v>541</v>
      </c>
      <c r="O18" s="31" t="s">
        <v>1434</v>
      </c>
    </row>
    <row r="19" customFormat="false" ht="84" hidden="false" customHeight="true" outlineLevel="0" collapsed="false">
      <c r="A19" s="29" t="s">
        <v>1435</v>
      </c>
      <c r="B19" s="31" t="s">
        <v>1436</v>
      </c>
      <c r="C19" s="30" t="s">
        <v>1437</v>
      </c>
      <c r="D19" s="30" t="s">
        <v>1298</v>
      </c>
      <c r="E19" s="31" t="s">
        <v>1438</v>
      </c>
      <c r="F19" s="31" t="s">
        <v>1439</v>
      </c>
      <c r="G19" s="31" t="s">
        <v>1440</v>
      </c>
      <c r="H19" s="31" t="s">
        <v>1441</v>
      </c>
      <c r="I19" s="31" t="s">
        <v>1442</v>
      </c>
      <c r="J19" s="31" t="s">
        <v>1443</v>
      </c>
      <c r="K19" s="31"/>
      <c r="L19" s="31" t="s">
        <v>1306</v>
      </c>
      <c r="M19" s="31"/>
      <c r="N19" s="30" t="s">
        <v>605</v>
      </c>
      <c r="O19" s="31" t="s">
        <v>1444</v>
      </c>
    </row>
    <row r="20" customFormat="false" ht="84" hidden="false" customHeight="true" outlineLevel="0" collapsed="false">
      <c r="A20" s="29" t="s">
        <v>1445</v>
      </c>
      <c r="B20" s="31" t="s">
        <v>1446</v>
      </c>
      <c r="C20" s="30" t="s">
        <v>1447</v>
      </c>
      <c r="D20" s="30" t="s">
        <v>1298</v>
      </c>
      <c r="E20" s="31" t="s">
        <v>1448</v>
      </c>
      <c r="F20" s="31" t="s">
        <v>1449</v>
      </c>
      <c r="G20" s="31" t="s">
        <v>1450</v>
      </c>
      <c r="H20" s="31" t="s">
        <v>1451</v>
      </c>
      <c r="I20" s="31"/>
      <c r="J20" s="31"/>
      <c r="K20" s="31"/>
      <c r="L20" s="31" t="s">
        <v>1452</v>
      </c>
      <c r="M20" s="31"/>
      <c r="N20" s="30" t="s">
        <v>830</v>
      </c>
      <c r="O20" s="31" t="s">
        <v>1453</v>
      </c>
    </row>
    <row r="21" customFormat="false" ht="84" hidden="false" customHeight="true" outlineLevel="0" collapsed="false">
      <c r="A21" s="32" t="s">
        <v>296</v>
      </c>
      <c r="B21" s="34" t="s">
        <v>562</v>
      </c>
      <c r="C21" s="33" t="s">
        <v>9</v>
      </c>
      <c r="D21" s="33" t="s">
        <v>1298</v>
      </c>
      <c r="E21" s="34" t="s">
        <v>1454</v>
      </c>
      <c r="F21" s="34" t="s">
        <v>1455</v>
      </c>
      <c r="G21" s="34" t="s">
        <v>1456</v>
      </c>
      <c r="H21" s="34" t="s">
        <v>1457</v>
      </c>
      <c r="I21" s="34" t="s">
        <v>1458</v>
      </c>
      <c r="J21" s="34" t="s">
        <v>1459</v>
      </c>
      <c r="K21" s="34" t="s">
        <v>1460</v>
      </c>
      <c r="L21" s="34" t="s">
        <v>1306</v>
      </c>
      <c r="M21" s="34" t="s">
        <v>1461</v>
      </c>
      <c r="N21" s="33" t="s">
        <v>527</v>
      </c>
      <c r="O21" s="34" t="s">
        <v>1462</v>
      </c>
    </row>
    <row r="22" customFormat="false" ht="84" hidden="false" customHeight="true" outlineLevel="0" collapsed="false">
      <c r="A22" s="32" t="s">
        <v>255</v>
      </c>
      <c r="B22" s="34" t="s">
        <v>1463</v>
      </c>
      <c r="C22" s="33" t="s">
        <v>9</v>
      </c>
      <c r="D22" s="33" t="s">
        <v>1298</v>
      </c>
      <c r="E22" s="34" t="s">
        <v>1464</v>
      </c>
      <c r="F22" s="34" t="s">
        <v>1465</v>
      </c>
      <c r="G22" s="34" t="s">
        <v>1466</v>
      </c>
      <c r="H22" s="34" t="s">
        <v>1467</v>
      </c>
      <c r="I22" s="34" t="s">
        <v>1468</v>
      </c>
      <c r="J22" s="34" t="s">
        <v>1469</v>
      </c>
      <c r="K22" s="34"/>
      <c r="L22" s="34" t="s">
        <v>1306</v>
      </c>
      <c r="M22" s="34" t="s">
        <v>1470</v>
      </c>
      <c r="N22" s="33" t="s">
        <v>527</v>
      </c>
      <c r="O22" s="34" t="s">
        <v>1471</v>
      </c>
    </row>
    <row r="23" customFormat="false" ht="84" hidden="false" customHeight="true" outlineLevel="0" collapsed="false">
      <c r="A23" s="32" t="s">
        <v>1472</v>
      </c>
      <c r="B23" s="34" t="s">
        <v>1473</v>
      </c>
      <c r="C23" s="33" t="s">
        <v>9</v>
      </c>
      <c r="D23" s="33" t="s">
        <v>1298</v>
      </c>
      <c r="E23" s="34" t="s">
        <v>1474</v>
      </c>
      <c r="F23" s="34" t="s">
        <v>1475</v>
      </c>
      <c r="G23" s="34" t="s">
        <v>1476</v>
      </c>
      <c r="H23" s="34" t="s">
        <v>1477</v>
      </c>
      <c r="I23" s="34" t="s">
        <v>1478</v>
      </c>
      <c r="J23" s="34" t="s">
        <v>1479</v>
      </c>
      <c r="K23" s="34" t="s">
        <v>1480</v>
      </c>
      <c r="L23" s="34" t="s">
        <v>1306</v>
      </c>
      <c r="M23" s="34" t="s">
        <v>1481</v>
      </c>
      <c r="N23" s="33" t="s">
        <v>541</v>
      </c>
      <c r="O23" s="34" t="s">
        <v>1482</v>
      </c>
    </row>
    <row r="24" customFormat="false" ht="84" hidden="false" customHeight="true" outlineLevel="0" collapsed="false">
      <c r="A24" s="32" t="s">
        <v>1483</v>
      </c>
      <c r="B24" s="34" t="s">
        <v>562</v>
      </c>
      <c r="C24" s="33" t="s">
        <v>9</v>
      </c>
      <c r="D24" s="33" t="s">
        <v>1484</v>
      </c>
      <c r="E24" s="34" t="s">
        <v>1485</v>
      </c>
      <c r="F24" s="34"/>
      <c r="G24" s="34" t="s">
        <v>1486</v>
      </c>
      <c r="H24" s="34" t="s">
        <v>1487</v>
      </c>
      <c r="I24" s="34" t="s">
        <v>1488</v>
      </c>
      <c r="J24" s="34" t="s">
        <v>1489</v>
      </c>
      <c r="K24" s="34"/>
      <c r="L24" s="34" t="s">
        <v>1306</v>
      </c>
      <c r="M24" s="34" t="s">
        <v>1490</v>
      </c>
      <c r="N24" s="33" t="s">
        <v>587</v>
      </c>
      <c r="O24" s="34" t="s">
        <v>1491</v>
      </c>
    </row>
    <row r="25" customFormat="false" ht="84" hidden="false" customHeight="true" outlineLevel="0" collapsed="false">
      <c r="A25" s="32" t="s">
        <v>1492</v>
      </c>
      <c r="B25" s="34" t="s">
        <v>1493</v>
      </c>
      <c r="C25" s="33" t="s">
        <v>9</v>
      </c>
      <c r="D25" s="33" t="s">
        <v>1494</v>
      </c>
      <c r="E25" s="34" t="s">
        <v>1495</v>
      </c>
      <c r="F25" s="34" t="s">
        <v>1496</v>
      </c>
      <c r="G25" s="34" t="s">
        <v>1497</v>
      </c>
      <c r="H25" s="34" t="s">
        <v>1498</v>
      </c>
      <c r="I25" s="34" t="s">
        <v>1499</v>
      </c>
      <c r="J25" s="34" t="s">
        <v>1500</v>
      </c>
      <c r="K25" s="34"/>
      <c r="L25" s="34" t="s">
        <v>1306</v>
      </c>
      <c r="M25" s="34"/>
      <c r="N25" s="33" t="s">
        <v>605</v>
      </c>
      <c r="O25" s="34" t="s">
        <v>1501</v>
      </c>
    </row>
    <row r="26" customFormat="false" ht="84" hidden="false" customHeight="true" outlineLevel="0" collapsed="false">
      <c r="A26" s="32" t="s">
        <v>1502</v>
      </c>
      <c r="B26" s="34" t="s">
        <v>562</v>
      </c>
      <c r="C26" s="33" t="s">
        <v>9</v>
      </c>
      <c r="D26" s="33" t="s">
        <v>1503</v>
      </c>
      <c r="E26" s="34" t="s">
        <v>1504</v>
      </c>
      <c r="F26" s="34"/>
      <c r="G26" s="34" t="s">
        <v>1505</v>
      </c>
      <c r="H26" s="34" t="s">
        <v>1506</v>
      </c>
      <c r="I26" s="34" t="s">
        <v>1507</v>
      </c>
      <c r="J26" s="34" t="s">
        <v>1508</v>
      </c>
      <c r="K26" s="34"/>
      <c r="L26" s="34" t="s">
        <v>1306</v>
      </c>
      <c r="M26" s="34"/>
      <c r="N26" s="33" t="s">
        <v>587</v>
      </c>
      <c r="O26" s="34" t="s">
        <v>1509</v>
      </c>
    </row>
    <row r="27" customFormat="false" ht="84" hidden="false" customHeight="true" outlineLevel="0" collapsed="false">
      <c r="A27" s="32" t="s">
        <v>1510</v>
      </c>
      <c r="B27" s="34" t="s">
        <v>1511</v>
      </c>
      <c r="C27" s="33" t="s">
        <v>9</v>
      </c>
      <c r="D27" s="33" t="s">
        <v>1512</v>
      </c>
      <c r="E27" s="34" t="s">
        <v>1513</v>
      </c>
      <c r="F27" s="34" t="s">
        <v>1514</v>
      </c>
      <c r="G27" s="34" t="s">
        <v>1515</v>
      </c>
      <c r="H27" s="34" t="s">
        <v>1516</v>
      </c>
      <c r="I27" s="34" t="s">
        <v>1517</v>
      </c>
      <c r="J27" s="34" t="s">
        <v>1518</v>
      </c>
      <c r="K27" s="34"/>
      <c r="L27" s="34" t="s">
        <v>1306</v>
      </c>
      <c r="M27" s="34"/>
      <c r="N27" s="33" t="s">
        <v>541</v>
      </c>
      <c r="O27" s="34" t="s">
        <v>1519</v>
      </c>
    </row>
    <row r="28" customFormat="false" ht="84" hidden="false" customHeight="true" outlineLevel="0" collapsed="false">
      <c r="A28" s="36" t="s">
        <v>278</v>
      </c>
      <c r="B28" s="38" t="s">
        <v>1520</v>
      </c>
      <c r="C28" s="37" t="s">
        <v>9</v>
      </c>
      <c r="D28" s="37" t="s">
        <v>1298</v>
      </c>
      <c r="E28" s="38" t="s">
        <v>1521</v>
      </c>
      <c r="F28" s="38" t="s">
        <v>1522</v>
      </c>
      <c r="G28" s="38" t="s">
        <v>1523</v>
      </c>
      <c r="H28" s="38" t="s">
        <v>1524</v>
      </c>
      <c r="I28" s="38" t="s">
        <v>1525</v>
      </c>
      <c r="J28" s="38" t="s">
        <v>1526</v>
      </c>
      <c r="K28" s="38" t="s">
        <v>1527</v>
      </c>
      <c r="L28" s="38" t="s">
        <v>1528</v>
      </c>
      <c r="M28" s="38" t="s">
        <v>281</v>
      </c>
      <c r="N28" s="37" t="s">
        <v>527</v>
      </c>
      <c r="O28" s="38" t="s">
        <v>1529</v>
      </c>
    </row>
    <row r="29" customFormat="false" ht="84" hidden="false" customHeight="true" outlineLevel="0" collapsed="false">
      <c r="A29" s="36" t="s">
        <v>1530</v>
      </c>
      <c r="B29" s="38" t="s">
        <v>1531</v>
      </c>
      <c r="C29" s="37" t="s">
        <v>9</v>
      </c>
      <c r="D29" s="37" t="s">
        <v>1532</v>
      </c>
      <c r="E29" s="38" t="s">
        <v>306</v>
      </c>
      <c r="F29" s="38" t="s">
        <v>1533</v>
      </c>
      <c r="G29" s="38" t="s">
        <v>1534</v>
      </c>
      <c r="H29" s="38" t="s">
        <v>1535</v>
      </c>
      <c r="I29" s="38" t="s">
        <v>1536</v>
      </c>
      <c r="J29" s="38" t="s">
        <v>1537</v>
      </c>
      <c r="K29" s="38"/>
      <c r="L29" s="38" t="s">
        <v>1538</v>
      </c>
      <c r="M29" s="38"/>
      <c r="N29" s="37" t="s">
        <v>587</v>
      </c>
      <c r="O29" s="38" t="s">
        <v>1539</v>
      </c>
    </row>
    <row r="30" customFormat="false" ht="84" hidden="false" customHeight="true" outlineLevel="0" collapsed="false">
      <c r="A30" s="36" t="s">
        <v>1540</v>
      </c>
      <c r="B30" s="38" t="s">
        <v>1126</v>
      </c>
      <c r="C30" s="37" t="s">
        <v>9</v>
      </c>
      <c r="D30" s="37" t="s">
        <v>1348</v>
      </c>
      <c r="E30" s="38" t="s">
        <v>1541</v>
      </c>
      <c r="F30" s="38" t="s">
        <v>1542</v>
      </c>
      <c r="G30" s="38" t="s">
        <v>1543</v>
      </c>
      <c r="H30" s="38" t="s">
        <v>1544</v>
      </c>
      <c r="I30" s="38" t="s">
        <v>1545</v>
      </c>
      <c r="J30" s="38" t="s">
        <v>1546</v>
      </c>
      <c r="K30" s="38" t="s">
        <v>1547</v>
      </c>
      <c r="L30" s="38"/>
      <c r="M30" s="38" t="s">
        <v>1548</v>
      </c>
      <c r="N30" s="37" t="s">
        <v>541</v>
      </c>
      <c r="O30" s="38" t="s">
        <v>1549</v>
      </c>
    </row>
    <row r="31" customFormat="false" ht="84" hidden="false" customHeight="true" outlineLevel="0" collapsed="false">
      <c r="A31" s="36" t="s">
        <v>1550</v>
      </c>
      <c r="B31" s="38" t="s">
        <v>1551</v>
      </c>
      <c r="C31" s="37" t="s">
        <v>9</v>
      </c>
      <c r="D31" s="37" t="s">
        <v>1298</v>
      </c>
      <c r="E31" s="38" t="s">
        <v>1417</v>
      </c>
      <c r="F31" s="38" t="s">
        <v>1552</v>
      </c>
      <c r="G31" s="38" t="s">
        <v>1553</v>
      </c>
      <c r="H31" s="38" t="s">
        <v>1554</v>
      </c>
      <c r="I31" s="38" t="s">
        <v>1555</v>
      </c>
      <c r="J31" s="38" t="s">
        <v>1556</v>
      </c>
      <c r="K31" s="38" t="s">
        <v>1557</v>
      </c>
      <c r="L31" s="38" t="s">
        <v>1558</v>
      </c>
      <c r="M31" s="38" t="s">
        <v>1559</v>
      </c>
      <c r="N31" s="37" t="s">
        <v>541</v>
      </c>
      <c r="O31" s="38"/>
    </row>
    <row r="32" customFormat="false" ht="84" hidden="false" customHeight="true" outlineLevel="0" collapsed="false">
      <c r="A32" s="36" t="s">
        <v>1560</v>
      </c>
      <c r="B32" s="38" t="s">
        <v>1561</v>
      </c>
      <c r="C32" s="37" t="s">
        <v>9</v>
      </c>
      <c r="D32" s="37" t="s">
        <v>1298</v>
      </c>
      <c r="E32" s="38" t="s">
        <v>1464</v>
      </c>
      <c r="F32" s="38" t="s">
        <v>1562</v>
      </c>
      <c r="G32" s="38" t="s">
        <v>1563</v>
      </c>
      <c r="H32" s="38" t="s">
        <v>1564</v>
      </c>
      <c r="I32" s="38" t="s">
        <v>1565</v>
      </c>
      <c r="J32" s="38" t="s">
        <v>1566</v>
      </c>
      <c r="K32" s="38" t="s">
        <v>1567</v>
      </c>
      <c r="L32" s="38"/>
      <c r="M32" s="38"/>
      <c r="N32" s="37" t="s">
        <v>587</v>
      </c>
      <c r="O32" s="38" t="s">
        <v>1568</v>
      </c>
    </row>
    <row r="33" customFormat="false" ht="84" hidden="false" customHeight="true" outlineLevel="0" collapsed="false">
      <c r="A33" s="36" t="s">
        <v>1569</v>
      </c>
      <c r="B33" s="38" t="s">
        <v>562</v>
      </c>
      <c r="C33" s="37" t="s">
        <v>9</v>
      </c>
      <c r="D33" s="37" t="s">
        <v>1298</v>
      </c>
      <c r="E33" s="38" t="s">
        <v>1570</v>
      </c>
      <c r="F33" s="38" t="s">
        <v>1571</v>
      </c>
      <c r="G33" s="38" t="s">
        <v>1572</v>
      </c>
      <c r="H33" s="38" t="s">
        <v>1573</v>
      </c>
      <c r="I33" s="38" t="s">
        <v>1574</v>
      </c>
      <c r="J33" s="38" t="s">
        <v>1575</v>
      </c>
      <c r="K33" s="38" t="s">
        <v>1576</v>
      </c>
      <c r="L33" s="38" t="s">
        <v>1577</v>
      </c>
      <c r="M33" s="38" t="s">
        <v>1578</v>
      </c>
      <c r="N33" s="37" t="s">
        <v>541</v>
      </c>
      <c r="O33" s="38"/>
    </row>
    <row r="34" customFormat="false" ht="84" hidden="false" customHeight="true" outlineLevel="0" collapsed="false">
      <c r="A34" s="36" t="s">
        <v>1579</v>
      </c>
      <c r="B34" s="38" t="s">
        <v>1580</v>
      </c>
      <c r="C34" s="37" t="s">
        <v>1581</v>
      </c>
      <c r="D34" s="37" t="s">
        <v>1582</v>
      </c>
      <c r="E34" s="38" t="s">
        <v>1583</v>
      </c>
      <c r="F34" s="38" t="s">
        <v>1584</v>
      </c>
      <c r="G34" s="38" t="s">
        <v>1585</v>
      </c>
      <c r="H34" s="38" t="s">
        <v>1586</v>
      </c>
      <c r="I34" s="38" t="s">
        <v>1587</v>
      </c>
      <c r="J34" s="38" t="s">
        <v>1588</v>
      </c>
      <c r="K34" s="38" t="s">
        <v>1589</v>
      </c>
      <c r="L34" s="38" t="s">
        <v>1590</v>
      </c>
      <c r="M34" s="38"/>
      <c r="N34" s="37" t="s">
        <v>587</v>
      </c>
      <c r="O34" s="38"/>
    </row>
    <row r="35" customFormat="false" ht="84" hidden="false" customHeight="true" outlineLevel="0" collapsed="false">
      <c r="A35" s="36" t="s">
        <v>1591</v>
      </c>
      <c r="B35" s="38" t="s">
        <v>1592</v>
      </c>
      <c r="C35" s="37" t="s">
        <v>1593</v>
      </c>
      <c r="D35" s="37" t="s">
        <v>1298</v>
      </c>
      <c r="E35" s="38" t="s">
        <v>1299</v>
      </c>
      <c r="F35" s="38" t="s">
        <v>1594</v>
      </c>
      <c r="G35" s="38" t="s">
        <v>1595</v>
      </c>
      <c r="H35" s="38" t="s">
        <v>1596</v>
      </c>
      <c r="I35" s="38" t="s">
        <v>1597</v>
      </c>
      <c r="J35" s="38" t="s">
        <v>1598</v>
      </c>
      <c r="K35" s="38"/>
      <c r="L35" s="38"/>
      <c r="M35" s="38" t="s">
        <v>1599</v>
      </c>
      <c r="N35" s="37" t="s">
        <v>587</v>
      </c>
      <c r="O35" s="38" t="s">
        <v>1600</v>
      </c>
    </row>
    <row r="36" customFormat="false" ht="84" hidden="false" customHeight="true" outlineLevel="0" collapsed="false">
      <c r="A36" s="36" t="s">
        <v>1601</v>
      </c>
      <c r="B36" s="38" t="s">
        <v>1602</v>
      </c>
      <c r="C36" s="37" t="s">
        <v>1593</v>
      </c>
      <c r="D36" s="37" t="s">
        <v>1298</v>
      </c>
      <c r="E36" s="38" t="s">
        <v>1603</v>
      </c>
      <c r="F36" s="38" t="s">
        <v>1604</v>
      </c>
      <c r="G36" s="38" t="s">
        <v>1605</v>
      </c>
      <c r="H36" s="38" t="s">
        <v>1606</v>
      </c>
      <c r="I36" s="38" t="s">
        <v>1607</v>
      </c>
      <c r="J36" s="38" t="s">
        <v>1608</v>
      </c>
      <c r="K36" s="38"/>
      <c r="L36" s="38"/>
      <c r="M36" s="38"/>
      <c r="N36" s="37" t="s">
        <v>587</v>
      </c>
      <c r="O36" s="38" t="s">
        <v>1609</v>
      </c>
    </row>
    <row r="37" customFormat="false" ht="84" hidden="false" customHeight="true" outlineLevel="0" collapsed="false">
      <c r="A37" s="36" t="s">
        <v>1610</v>
      </c>
      <c r="B37" s="38" t="s">
        <v>1611</v>
      </c>
      <c r="C37" s="37" t="s">
        <v>530</v>
      </c>
      <c r="D37" s="37" t="s">
        <v>1298</v>
      </c>
      <c r="E37" s="38"/>
      <c r="F37" s="38" t="s">
        <v>1612</v>
      </c>
      <c r="G37" s="38" t="s">
        <v>1613</v>
      </c>
      <c r="H37" s="38" t="s">
        <v>1614</v>
      </c>
      <c r="I37" s="38" t="s">
        <v>1615</v>
      </c>
      <c r="J37" s="38" t="s">
        <v>1616</v>
      </c>
      <c r="K37" s="38"/>
      <c r="L37" s="38"/>
      <c r="M37" s="38"/>
      <c r="N37" s="37" t="s">
        <v>605</v>
      </c>
      <c r="O37" s="38" t="s">
        <v>1617</v>
      </c>
    </row>
    <row r="38" customFormat="false" ht="84" hidden="false" customHeight="true" outlineLevel="0" collapsed="false">
      <c r="A38" s="36" t="s">
        <v>1618</v>
      </c>
      <c r="B38" s="38" t="s">
        <v>1619</v>
      </c>
      <c r="C38" s="37" t="s">
        <v>738</v>
      </c>
      <c r="D38" s="37" t="s">
        <v>1620</v>
      </c>
      <c r="E38" s="38" t="s">
        <v>1621</v>
      </c>
      <c r="F38" s="38" t="s">
        <v>1622</v>
      </c>
      <c r="G38" s="38" t="s">
        <v>1623</v>
      </c>
      <c r="H38" s="38" t="s">
        <v>1451</v>
      </c>
      <c r="I38" s="38"/>
      <c r="J38" s="38" t="s">
        <v>1624</v>
      </c>
      <c r="K38" s="38"/>
      <c r="L38" s="38"/>
      <c r="M38" s="38"/>
      <c r="N38" s="37" t="s">
        <v>605</v>
      </c>
      <c r="O38" s="38" t="s">
        <v>1625</v>
      </c>
    </row>
    <row r="39" customFormat="false" ht="84" hidden="false" customHeight="true" outlineLevel="0" collapsed="false">
      <c r="A39" s="50" t="s">
        <v>1626</v>
      </c>
      <c r="B39" s="51" t="s">
        <v>195</v>
      </c>
      <c r="C39" s="52" t="s">
        <v>1627</v>
      </c>
      <c r="D39" s="52" t="s">
        <v>1298</v>
      </c>
      <c r="E39" s="51" t="s">
        <v>1628</v>
      </c>
      <c r="F39" s="51" t="s">
        <v>1629</v>
      </c>
      <c r="G39" s="51"/>
      <c r="H39" s="51" t="s">
        <v>1451</v>
      </c>
      <c r="I39" s="51" t="s">
        <v>1575</v>
      </c>
      <c r="J39" s="51" t="s">
        <v>1630</v>
      </c>
      <c r="K39" s="51"/>
      <c r="L39" s="51" t="s">
        <v>1631</v>
      </c>
      <c r="M39" s="51" t="s">
        <v>1632</v>
      </c>
      <c r="N39" s="52" t="s">
        <v>605</v>
      </c>
      <c r="O39" s="51" t="s">
        <v>1633</v>
      </c>
    </row>
    <row r="40" customFormat="false" ht="84" hidden="false" customHeight="true" outlineLevel="0" collapsed="false">
      <c r="A40" s="50" t="s">
        <v>1634</v>
      </c>
      <c r="B40" s="51" t="s">
        <v>1635</v>
      </c>
      <c r="C40" s="52" t="s">
        <v>1636</v>
      </c>
      <c r="D40" s="52" t="s">
        <v>1637</v>
      </c>
      <c r="E40" s="51"/>
      <c r="F40" s="51" t="s">
        <v>1638</v>
      </c>
      <c r="G40" s="51" t="s">
        <v>1639</v>
      </c>
      <c r="H40" s="51" t="s">
        <v>1640</v>
      </c>
      <c r="I40" s="51"/>
      <c r="J40" s="51" t="s">
        <v>1641</v>
      </c>
      <c r="K40" s="51"/>
      <c r="L40" s="51" t="s">
        <v>1642</v>
      </c>
      <c r="M40" s="51"/>
      <c r="N40" s="52" t="s">
        <v>605</v>
      </c>
      <c r="O40" s="51" t="s">
        <v>1643</v>
      </c>
    </row>
    <row r="41" customFormat="false" ht="84" hidden="false" customHeight="true" outlineLevel="0" collapsed="false">
      <c r="A41" s="50" t="s">
        <v>1644</v>
      </c>
      <c r="B41" s="51" t="s">
        <v>562</v>
      </c>
      <c r="C41" s="52" t="s">
        <v>9</v>
      </c>
      <c r="D41" s="52" t="s">
        <v>1645</v>
      </c>
      <c r="E41" s="51"/>
      <c r="F41" s="51" t="s">
        <v>1646</v>
      </c>
      <c r="G41" s="51" t="s">
        <v>1647</v>
      </c>
      <c r="H41" s="51" t="s">
        <v>1648</v>
      </c>
      <c r="I41" s="51"/>
      <c r="J41" s="51"/>
      <c r="K41" s="51"/>
      <c r="L41" s="51"/>
      <c r="M41" s="51"/>
      <c r="N41" s="52" t="s">
        <v>830</v>
      </c>
      <c r="O41" s="51" t="s">
        <v>1649</v>
      </c>
    </row>
    <row r="42" customFormat="false" ht="84" hidden="false" customHeight="true" outlineLevel="0" collapsed="false">
      <c r="A42" s="50" t="s">
        <v>1650</v>
      </c>
      <c r="B42" s="51" t="s">
        <v>1651</v>
      </c>
      <c r="C42" s="52" t="s">
        <v>1447</v>
      </c>
      <c r="D42" s="52" t="s">
        <v>1652</v>
      </c>
      <c r="E42" s="51"/>
      <c r="F42" s="51"/>
      <c r="G42" s="51" t="s">
        <v>1653</v>
      </c>
      <c r="H42" s="51" t="s">
        <v>1654</v>
      </c>
      <c r="I42" s="51" t="s">
        <v>1655</v>
      </c>
      <c r="J42" s="51"/>
      <c r="K42" s="51"/>
      <c r="L42" s="51"/>
      <c r="M42" s="51"/>
      <c r="N42" s="52" t="s">
        <v>830</v>
      </c>
      <c r="O42" s="51" t="s">
        <v>1656</v>
      </c>
    </row>
    <row r="43" customFormat="false" ht="84" hidden="false" customHeight="true" outlineLevel="0" collapsed="false">
      <c r="A43" s="50" t="s">
        <v>1657</v>
      </c>
      <c r="B43" s="51" t="s">
        <v>562</v>
      </c>
      <c r="C43" s="52" t="s">
        <v>9</v>
      </c>
      <c r="D43" s="52" t="s">
        <v>1658</v>
      </c>
      <c r="E43" s="51"/>
      <c r="F43" s="51" t="s">
        <v>1659</v>
      </c>
      <c r="G43" s="51"/>
      <c r="H43" s="51" t="s">
        <v>1660</v>
      </c>
      <c r="I43" s="51"/>
      <c r="J43" s="51"/>
      <c r="K43" s="51" t="s">
        <v>1661</v>
      </c>
      <c r="L43" s="51"/>
      <c r="M43" s="51"/>
      <c r="N43" s="52" t="s">
        <v>830</v>
      </c>
      <c r="O43" s="51" t="s">
        <v>1662</v>
      </c>
    </row>
    <row r="44" customFormat="false" ht="84" hidden="false" customHeight="true" outlineLevel="0" collapsed="false">
      <c r="A44" s="50" t="s">
        <v>1663</v>
      </c>
      <c r="B44" s="51" t="s">
        <v>562</v>
      </c>
      <c r="C44" s="52" t="s">
        <v>9</v>
      </c>
      <c r="D44" s="52" t="s">
        <v>1658</v>
      </c>
      <c r="E44" s="51"/>
      <c r="F44" s="51" t="s">
        <v>1664</v>
      </c>
      <c r="G44" s="51" t="s">
        <v>1665</v>
      </c>
      <c r="H44" s="51" t="s">
        <v>1666</v>
      </c>
      <c r="I44" s="51"/>
      <c r="J44" s="51"/>
      <c r="K44" s="51" t="s">
        <v>1667</v>
      </c>
      <c r="L44" s="51"/>
      <c r="M44" s="51"/>
      <c r="N44" s="52" t="s">
        <v>830</v>
      </c>
      <c r="O44" s="51"/>
    </row>
    <row r="45" customFormat="false" ht="84" hidden="false" customHeight="true" outlineLevel="0" collapsed="false">
      <c r="A45" s="50" t="s">
        <v>1668</v>
      </c>
      <c r="B45" s="51" t="s">
        <v>562</v>
      </c>
      <c r="C45" s="52" t="s">
        <v>9</v>
      </c>
      <c r="D45" s="52" t="s">
        <v>1669</v>
      </c>
      <c r="E45" s="51"/>
      <c r="F45" s="51" t="s">
        <v>1670</v>
      </c>
      <c r="G45" s="51" t="s">
        <v>1671</v>
      </c>
      <c r="H45" s="51" t="s">
        <v>1672</v>
      </c>
      <c r="I45" s="51" t="s">
        <v>1673</v>
      </c>
      <c r="J45" s="51" t="s">
        <v>1674</v>
      </c>
      <c r="K45" s="51"/>
      <c r="L45" s="51"/>
      <c r="M45" s="51"/>
      <c r="N45" s="52" t="s">
        <v>830</v>
      </c>
      <c r="O45" s="51" t="s">
        <v>1675</v>
      </c>
    </row>
    <row r="46" customFormat="false" ht="84" hidden="false" customHeight="true" outlineLevel="0" collapsed="false">
      <c r="A46" s="50" t="s">
        <v>1676</v>
      </c>
      <c r="B46" s="51" t="s">
        <v>1677</v>
      </c>
      <c r="C46" s="52" t="s">
        <v>1447</v>
      </c>
      <c r="D46" s="52" t="s">
        <v>1678</v>
      </c>
      <c r="E46" s="51"/>
      <c r="F46" s="51"/>
      <c r="G46" s="51"/>
      <c r="H46" s="51" t="s">
        <v>1679</v>
      </c>
      <c r="I46" s="51"/>
      <c r="J46" s="51"/>
      <c r="K46" s="51" t="s">
        <v>1680</v>
      </c>
      <c r="L46" s="51"/>
      <c r="M46" s="51"/>
      <c r="N46" s="52" t="s">
        <v>830</v>
      </c>
      <c r="O46" s="51" t="s">
        <v>1681</v>
      </c>
    </row>
    <row r="48" customFormat="false" ht="33.75" hidden="false" customHeight="true" outlineLevel="0" collapsed="false">
      <c r="A48" s="35" t="s">
        <v>1682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</row>
  </sheetData>
  <autoFilter ref="A4:O46"/>
  <mergeCells count="3">
    <mergeCell ref="A1:O1"/>
    <mergeCell ref="A2:O2"/>
    <mergeCell ref="A48:O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O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6" min="5" style="0" width="20"/>
    <col collapsed="false" customWidth="true" hidden="false" outlineLevel="0" max="7" min="7" style="0" width="24"/>
    <col collapsed="false" customWidth="true" hidden="false" outlineLevel="0" max="8" min="8" style="0" width="27"/>
    <col collapsed="false" customWidth="true" hidden="false" outlineLevel="0" max="9" min="9" style="0" width="22"/>
    <col collapsed="false" customWidth="true" hidden="false" outlineLevel="0" max="10" min="10" style="0" width="28"/>
    <col collapsed="false" customWidth="true" hidden="false" outlineLevel="0" max="11" min="11" style="0" width="25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26"/>
    <col collapsed="false" customWidth="true" hidden="false" outlineLevel="0" max="15" min="15" style="0" width="14"/>
  </cols>
  <sheetData>
    <row r="1" customFormat="false" ht="24" hidden="false" customHeight="true" outlineLevel="0" collapsed="false">
      <c r="A1" s="39" t="s">
        <v>1683</v>
      </c>
    </row>
    <row r="2" customFormat="false" ht="15.75" hidden="false" customHeight="true" outlineLevel="0" collapsed="false">
      <c r="A2" s="40" t="s">
        <v>1684</v>
      </c>
    </row>
    <row r="3" customFormat="false" ht="13.5" hidden="false" customHeight="true" outlineLevel="0" collapsed="false">
      <c r="A3" s="41" t="s">
        <v>1685</v>
      </c>
      <c r="K3" s="5" t="s">
        <v>513</v>
      </c>
      <c r="L3" s="42" t="n">
        <f aca="false">COUNTA($A$6:$A$154)</f>
        <v>149</v>
      </c>
    </row>
    <row r="4" customFormat="false" ht="6" hidden="false" customHeight="true" outlineLevel="0" collapsed="false"/>
    <row r="5" customFormat="false" ht="27.75" hidden="false" customHeight="true" outlineLevel="0" collapsed="false">
      <c r="A5" s="7" t="s">
        <v>1219</v>
      </c>
      <c r="B5" s="7" t="s">
        <v>9</v>
      </c>
      <c r="C5" s="7" t="s">
        <v>515</v>
      </c>
      <c r="D5" s="7" t="s">
        <v>1686</v>
      </c>
      <c r="E5" s="7" t="s">
        <v>1220</v>
      </c>
      <c r="F5" s="7" t="s">
        <v>1687</v>
      </c>
      <c r="G5" s="7" t="s">
        <v>1688</v>
      </c>
      <c r="H5" s="7" t="s">
        <v>1292</v>
      </c>
      <c r="I5" s="7" t="s">
        <v>1689</v>
      </c>
      <c r="J5" s="7" t="s">
        <v>1690</v>
      </c>
      <c r="K5" s="7" t="s">
        <v>519</v>
      </c>
      <c r="L5" s="7" t="s">
        <v>14</v>
      </c>
      <c r="M5" s="7" t="s">
        <v>520</v>
      </c>
      <c r="N5" s="7" t="s">
        <v>390</v>
      </c>
      <c r="O5" s="7" t="s">
        <v>521</v>
      </c>
    </row>
    <row r="6" customFormat="false" ht="23.85" hidden="false" customHeight="false" outlineLevel="0" collapsed="false">
      <c r="A6" s="8" t="s">
        <v>269</v>
      </c>
      <c r="B6" s="9" t="s">
        <v>1126</v>
      </c>
      <c r="C6" s="9" t="s">
        <v>9</v>
      </c>
      <c r="D6" s="9" t="s">
        <v>933</v>
      </c>
      <c r="E6" s="9" t="s">
        <v>1691</v>
      </c>
      <c r="F6" s="9" t="s">
        <v>1692</v>
      </c>
      <c r="G6" s="9" t="s">
        <v>1693</v>
      </c>
      <c r="H6" s="9" t="s">
        <v>1694</v>
      </c>
      <c r="I6" s="9" t="s">
        <v>1695</v>
      </c>
      <c r="J6" s="9" t="s">
        <v>1696</v>
      </c>
      <c r="K6" s="9" t="s">
        <v>1697</v>
      </c>
      <c r="L6" s="9" t="s">
        <v>527</v>
      </c>
      <c r="M6" s="9" t="s">
        <v>528</v>
      </c>
      <c r="N6" s="9" t="s">
        <v>1698</v>
      </c>
      <c r="O6" s="43"/>
    </row>
    <row r="7" customFormat="false" ht="23.85" hidden="false" customHeight="false" outlineLevel="0" collapsed="false">
      <c r="A7" s="8" t="s">
        <v>260</v>
      </c>
      <c r="B7" s="9" t="s">
        <v>562</v>
      </c>
      <c r="C7" s="9" t="s">
        <v>9</v>
      </c>
      <c r="D7" s="9" t="s">
        <v>933</v>
      </c>
      <c r="E7" s="9" t="s">
        <v>1691</v>
      </c>
      <c r="F7" s="9" t="s">
        <v>1699</v>
      </c>
      <c r="G7" s="9" t="s">
        <v>1700</v>
      </c>
      <c r="H7" s="9" t="s">
        <v>1701</v>
      </c>
      <c r="I7" s="9" t="s">
        <v>1702</v>
      </c>
      <c r="J7" s="9" t="s">
        <v>1703</v>
      </c>
      <c r="K7" s="9" t="s">
        <v>1704</v>
      </c>
      <c r="L7" s="9" t="s">
        <v>527</v>
      </c>
      <c r="M7" s="9" t="s">
        <v>528</v>
      </c>
      <c r="N7" s="9" t="s">
        <v>1698</v>
      </c>
      <c r="O7" s="43"/>
    </row>
    <row r="8" customFormat="false" ht="23.85" hidden="false" customHeight="false" outlineLevel="0" collapsed="false">
      <c r="A8" s="8" t="s">
        <v>264</v>
      </c>
      <c r="B8" s="9" t="s">
        <v>1126</v>
      </c>
      <c r="C8" s="9" t="s">
        <v>9</v>
      </c>
      <c r="D8" s="9" t="s">
        <v>933</v>
      </c>
      <c r="E8" s="9" t="s">
        <v>1691</v>
      </c>
      <c r="F8" s="9" t="s">
        <v>1705</v>
      </c>
      <c r="G8" s="9" t="s">
        <v>1323</v>
      </c>
      <c r="H8" s="9" t="s">
        <v>1706</v>
      </c>
      <c r="I8" s="9" t="s">
        <v>1707</v>
      </c>
      <c r="J8" s="9" t="s">
        <v>1708</v>
      </c>
      <c r="K8" s="9" t="s">
        <v>1709</v>
      </c>
      <c r="L8" s="9" t="s">
        <v>527</v>
      </c>
      <c r="M8" s="9" t="s">
        <v>528</v>
      </c>
      <c r="N8" s="9" t="s">
        <v>1698</v>
      </c>
      <c r="O8" s="43"/>
    </row>
    <row r="9" customFormat="false" ht="23.85" hidden="false" customHeight="false" outlineLevel="0" collapsed="false">
      <c r="A9" s="8" t="s">
        <v>248</v>
      </c>
      <c r="B9" s="9" t="s">
        <v>562</v>
      </c>
      <c r="C9" s="9" t="s">
        <v>9</v>
      </c>
      <c r="D9" s="9" t="s">
        <v>933</v>
      </c>
      <c r="E9" s="9" t="s">
        <v>1710</v>
      </c>
      <c r="F9" s="9" t="s">
        <v>1711</v>
      </c>
      <c r="G9" s="9" t="s">
        <v>1712</v>
      </c>
      <c r="H9" s="9" t="s">
        <v>1713</v>
      </c>
      <c r="I9" s="9" t="s">
        <v>1714</v>
      </c>
      <c r="J9" s="9" t="s">
        <v>1715</v>
      </c>
      <c r="K9" s="9" t="s">
        <v>1716</v>
      </c>
      <c r="L9" s="9" t="s">
        <v>527</v>
      </c>
      <c r="M9" s="9" t="s">
        <v>528</v>
      </c>
      <c r="N9" s="9" t="s">
        <v>1698</v>
      </c>
      <c r="O9" s="43"/>
    </row>
    <row r="10" customFormat="false" ht="23.85" hidden="false" customHeight="false" outlineLevel="0" collapsed="false">
      <c r="A10" s="8" t="s">
        <v>283</v>
      </c>
      <c r="B10" s="9" t="s">
        <v>562</v>
      </c>
      <c r="C10" s="9" t="s">
        <v>9</v>
      </c>
      <c r="D10" s="9" t="s">
        <v>933</v>
      </c>
      <c r="E10" s="9" t="s">
        <v>1691</v>
      </c>
      <c r="F10" s="9" t="s">
        <v>1717</v>
      </c>
      <c r="G10" s="9" t="s">
        <v>1718</v>
      </c>
      <c r="H10" s="9" t="s">
        <v>1719</v>
      </c>
      <c r="I10" s="9" t="s">
        <v>1720</v>
      </c>
      <c r="J10" s="9" t="s">
        <v>1721</v>
      </c>
      <c r="K10" s="9" t="s">
        <v>1722</v>
      </c>
      <c r="L10" s="9" t="s">
        <v>527</v>
      </c>
      <c r="M10" s="9" t="s">
        <v>528</v>
      </c>
      <c r="N10" s="9" t="s">
        <v>1698</v>
      </c>
      <c r="O10" s="43"/>
    </row>
    <row r="11" customFormat="false" ht="15" hidden="false" customHeight="false" outlineLevel="0" collapsed="false">
      <c r="A11" s="8" t="s">
        <v>1347</v>
      </c>
      <c r="B11" s="9" t="s">
        <v>562</v>
      </c>
      <c r="C11" s="9" t="s">
        <v>9</v>
      </c>
      <c r="D11" s="9" t="s">
        <v>933</v>
      </c>
      <c r="E11" s="9" t="s">
        <v>1723</v>
      </c>
      <c r="F11" s="9" t="s">
        <v>1724</v>
      </c>
      <c r="G11" s="9" t="s">
        <v>1725</v>
      </c>
      <c r="H11" s="9" t="s">
        <v>1726</v>
      </c>
      <c r="I11" s="9" t="s">
        <v>1727</v>
      </c>
      <c r="J11" s="9" t="s">
        <v>1728</v>
      </c>
      <c r="K11" s="9" t="s">
        <v>1729</v>
      </c>
      <c r="L11" s="9" t="s">
        <v>541</v>
      </c>
      <c r="M11" s="9" t="s">
        <v>528</v>
      </c>
      <c r="N11" s="9" t="s">
        <v>1730</v>
      </c>
      <c r="O11" s="43"/>
    </row>
    <row r="12" customFormat="false" ht="15" hidden="false" customHeight="false" outlineLevel="0" collapsed="false">
      <c r="A12" s="8" t="s">
        <v>1358</v>
      </c>
      <c r="B12" s="9" t="s">
        <v>562</v>
      </c>
      <c r="C12" s="9" t="s">
        <v>9</v>
      </c>
      <c r="D12" s="9" t="s">
        <v>933</v>
      </c>
      <c r="E12" s="9" t="s">
        <v>1731</v>
      </c>
      <c r="F12" s="9" t="s">
        <v>1732</v>
      </c>
      <c r="G12" s="9" t="s">
        <v>1733</v>
      </c>
      <c r="H12" s="9" t="s">
        <v>1363</v>
      </c>
      <c r="I12" s="9" t="s">
        <v>1734</v>
      </c>
      <c r="J12" s="9" t="s">
        <v>1364</v>
      </c>
      <c r="K12" s="9" t="s">
        <v>1735</v>
      </c>
      <c r="L12" s="9" t="s">
        <v>587</v>
      </c>
      <c r="M12" s="9" t="s">
        <v>528</v>
      </c>
      <c r="N12" s="9" t="s">
        <v>1730</v>
      </c>
      <c r="O12" s="43"/>
    </row>
    <row r="13" customFormat="false" ht="15" hidden="false" customHeight="false" outlineLevel="0" collapsed="false">
      <c r="A13" s="8" t="s">
        <v>1367</v>
      </c>
      <c r="B13" s="9" t="s">
        <v>562</v>
      </c>
      <c r="C13" s="9" t="s">
        <v>9</v>
      </c>
      <c r="D13" s="9" t="s">
        <v>933</v>
      </c>
      <c r="E13" s="9" t="s">
        <v>1691</v>
      </c>
      <c r="F13" s="9" t="s">
        <v>1736</v>
      </c>
      <c r="G13" s="9" t="s">
        <v>1371</v>
      </c>
      <c r="H13" s="9" t="s">
        <v>1737</v>
      </c>
      <c r="I13" s="9" t="s">
        <v>1738</v>
      </c>
      <c r="J13" s="9" t="s">
        <v>1739</v>
      </c>
      <c r="K13" s="9" t="s">
        <v>1740</v>
      </c>
      <c r="L13" s="9" t="s">
        <v>541</v>
      </c>
      <c r="M13" s="9" t="s">
        <v>528</v>
      </c>
      <c r="N13" s="9" t="s">
        <v>1730</v>
      </c>
      <c r="O13" s="43"/>
    </row>
    <row r="14" customFormat="false" ht="23.85" hidden="false" customHeight="false" outlineLevel="0" collapsed="false">
      <c r="A14" s="8" t="s">
        <v>286</v>
      </c>
      <c r="B14" s="9" t="s">
        <v>562</v>
      </c>
      <c r="C14" s="9" t="s">
        <v>9</v>
      </c>
      <c r="D14" s="9" t="s">
        <v>933</v>
      </c>
      <c r="E14" s="9" t="s">
        <v>1691</v>
      </c>
      <c r="F14" s="9" t="s">
        <v>1741</v>
      </c>
      <c r="G14" s="9" t="s">
        <v>1742</v>
      </c>
      <c r="H14" s="9" t="s">
        <v>1743</v>
      </c>
      <c r="I14" s="9" t="s">
        <v>1744</v>
      </c>
      <c r="J14" s="9" t="s">
        <v>1745</v>
      </c>
      <c r="K14" s="9" t="s">
        <v>1746</v>
      </c>
      <c r="L14" s="9" t="s">
        <v>541</v>
      </c>
      <c r="M14" s="9" t="s">
        <v>528</v>
      </c>
      <c r="N14" s="9" t="s">
        <v>1698</v>
      </c>
      <c r="O14" s="43"/>
    </row>
    <row r="15" customFormat="false" ht="23.85" hidden="false" customHeight="false" outlineLevel="0" collapsed="false">
      <c r="A15" s="8" t="s">
        <v>274</v>
      </c>
      <c r="B15" s="9" t="s">
        <v>562</v>
      </c>
      <c r="C15" s="9" t="s">
        <v>9</v>
      </c>
      <c r="D15" s="9" t="s">
        <v>933</v>
      </c>
      <c r="E15" s="9" t="s">
        <v>1691</v>
      </c>
      <c r="F15" s="9" t="s">
        <v>1747</v>
      </c>
      <c r="G15" s="9" t="s">
        <v>1748</v>
      </c>
      <c r="H15" s="9" t="s">
        <v>1749</v>
      </c>
      <c r="I15" s="9" t="s">
        <v>1750</v>
      </c>
      <c r="J15" s="9" t="s">
        <v>1389</v>
      </c>
      <c r="K15" s="9" t="s">
        <v>1751</v>
      </c>
      <c r="L15" s="9" t="s">
        <v>527</v>
      </c>
      <c r="M15" s="9" t="s">
        <v>528</v>
      </c>
      <c r="N15" s="9" t="s">
        <v>1698</v>
      </c>
      <c r="O15" s="43"/>
    </row>
    <row r="16" customFormat="false" ht="23.85" hidden="false" customHeight="false" outlineLevel="0" collapsed="false">
      <c r="A16" s="8" t="s">
        <v>1394</v>
      </c>
      <c r="B16" s="9" t="s">
        <v>562</v>
      </c>
      <c r="C16" s="9" t="s">
        <v>9</v>
      </c>
      <c r="D16" s="9" t="s">
        <v>933</v>
      </c>
      <c r="E16" s="9" t="s">
        <v>1691</v>
      </c>
      <c r="F16" s="9" t="s">
        <v>1752</v>
      </c>
      <c r="G16" s="9" t="s">
        <v>1323</v>
      </c>
      <c r="H16" s="9" t="s">
        <v>1753</v>
      </c>
      <c r="I16" s="9" t="s">
        <v>1754</v>
      </c>
      <c r="J16" s="9" t="s">
        <v>1755</v>
      </c>
      <c r="K16" s="9" t="s">
        <v>1756</v>
      </c>
      <c r="L16" s="9" t="s">
        <v>541</v>
      </c>
      <c r="M16" s="9" t="s">
        <v>528</v>
      </c>
      <c r="N16" s="9" t="s">
        <v>1730</v>
      </c>
      <c r="O16" s="43"/>
    </row>
    <row r="17" customFormat="false" ht="15" hidden="false" customHeight="false" outlineLevel="0" collapsed="false">
      <c r="A17" s="8" t="s">
        <v>1404</v>
      </c>
      <c r="B17" s="9" t="s">
        <v>562</v>
      </c>
      <c r="C17" s="9" t="s">
        <v>9</v>
      </c>
      <c r="D17" s="9" t="s">
        <v>933</v>
      </c>
      <c r="E17" s="9" t="s">
        <v>1731</v>
      </c>
      <c r="F17" s="9" t="s">
        <v>1757</v>
      </c>
      <c r="G17" s="9" t="s">
        <v>1758</v>
      </c>
      <c r="H17" s="9" t="s">
        <v>1409</v>
      </c>
      <c r="I17" s="9" t="s">
        <v>1759</v>
      </c>
      <c r="J17" s="9" t="s">
        <v>1760</v>
      </c>
      <c r="K17" s="9" t="s">
        <v>1761</v>
      </c>
      <c r="L17" s="9" t="s">
        <v>587</v>
      </c>
      <c r="M17" s="9" t="s">
        <v>528</v>
      </c>
      <c r="N17" s="9" t="s">
        <v>1730</v>
      </c>
      <c r="O17" s="43"/>
    </row>
    <row r="18" customFormat="false" ht="23.85" hidden="false" customHeight="false" outlineLevel="0" collapsed="false">
      <c r="A18" s="8" t="s">
        <v>1414</v>
      </c>
      <c r="B18" s="9" t="s">
        <v>292</v>
      </c>
      <c r="C18" s="9" t="s">
        <v>1416</v>
      </c>
      <c r="D18" s="9" t="s">
        <v>933</v>
      </c>
      <c r="E18" s="9" t="s">
        <v>1691</v>
      </c>
      <c r="F18" s="9" t="s">
        <v>1762</v>
      </c>
      <c r="G18" s="9" t="s">
        <v>1763</v>
      </c>
      <c r="H18" s="9" t="s">
        <v>1764</v>
      </c>
      <c r="I18" s="9" t="s">
        <v>1765</v>
      </c>
      <c r="J18" s="9" t="s">
        <v>1766</v>
      </c>
      <c r="K18" s="9" t="s">
        <v>1767</v>
      </c>
      <c r="L18" s="9" t="s">
        <v>527</v>
      </c>
      <c r="M18" s="9" t="s">
        <v>528</v>
      </c>
      <c r="N18" s="9" t="s">
        <v>1768</v>
      </c>
      <c r="O18" s="43"/>
    </row>
    <row r="19" customFormat="false" ht="23.85" hidden="false" customHeight="false" outlineLevel="0" collapsed="false">
      <c r="A19" s="8" t="s">
        <v>367</v>
      </c>
      <c r="B19" s="9" t="s">
        <v>369</v>
      </c>
      <c r="C19" s="9" t="s">
        <v>530</v>
      </c>
      <c r="D19" s="9" t="s">
        <v>933</v>
      </c>
      <c r="E19" s="9" t="s">
        <v>368</v>
      </c>
      <c r="F19" s="9" t="s">
        <v>1769</v>
      </c>
      <c r="G19" s="9" t="s">
        <v>1770</v>
      </c>
      <c r="H19" s="9" t="s">
        <v>1771</v>
      </c>
      <c r="I19" s="9" t="s">
        <v>1772</v>
      </c>
      <c r="J19" s="9" t="s">
        <v>1773</v>
      </c>
      <c r="K19" s="9" t="s">
        <v>1774</v>
      </c>
      <c r="L19" s="9" t="s">
        <v>541</v>
      </c>
      <c r="M19" s="9" t="s">
        <v>528</v>
      </c>
      <c r="N19" s="9" t="s">
        <v>1698</v>
      </c>
      <c r="O19" s="43"/>
    </row>
    <row r="20" customFormat="false" ht="23.85" hidden="false" customHeight="false" outlineLevel="0" collapsed="false">
      <c r="A20" s="8" t="s">
        <v>296</v>
      </c>
      <c r="B20" s="9" t="s">
        <v>562</v>
      </c>
      <c r="C20" s="9" t="s">
        <v>9</v>
      </c>
      <c r="D20" s="9" t="s">
        <v>933</v>
      </c>
      <c r="E20" s="9" t="s">
        <v>374</v>
      </c>
      <c r="F20" s="9" t="s">
        <v>1775</v>
      </c>
      <c r="G20" s="9" t="s">
        <v>1776</v>
      </c>
      <c r="H20" s="9" t="s">
        <v>1777</v>
      </c>
      <c r="I20" s="9" t="s">
        <v>1778</v>
      </c>
      <c r="J20" s="9" t="s">
        <v>1779</v>
      </c>
      <c r="K20" s="9" t="s">
        <v>1780</v>
      </c>
      <c r="L20" s="9" t="s">
        <v>527</v>
      </c>
      <c r="M20" s="9" t="s">
        <v>528</v>
      </c>
      <c r="N20" s="9" t="s">
        <v>1698</v>
      </c>
      <c r="O20" s="43"/>
    </row>
    <row r="21" customFormat="false" ht="23.85" hidden="false" customHeight="false" outlineLevel="0" collapsed="false">
      <c r="A21" s="8" t="s">
        <v>255</v>
      </c>
      <c r="B21" s="9" t="s">
        <v>562</v>
      </c>
      <c r="C21" s="9" t="s">
        <v>9</v>
      </c>
      <c r="D21" s="9" t="s">
        <v>933</v>
      </c>
      <c r="E21" s="9" t="s">
        <v>1781</v>
      </c>
      <c r="F21" s="9" t="s">
        <v>1782</v>
      </c>
      <c r="G21" s="9" t="s">
        <v>1783</v>
      </c>
      <c r="H21" s="9" t="s">
        <v>1784</v>
      </c>
      <c r="I21" s="9" t="s">
        <v>1465</v>
      </c>
      <c r="J21" s="9" t="s">
        <v>1785</v>
      </c>
      <c r="K21" s="9" t="s">
        <v>1786</v>
      </c>
      <c r="L21" s="9" t="s">
        <v>527</v>
      </c>
      <c r="M21" s="9" t="s">
        <v>528</v>
      </c>
      <c r="N21" s="9" t="s">
        <v>1698</v>
      </c>
      <c r="O21" s="43"/>
    </row>
    <row r="22" customFormat="false" ht="15" hidden="false" customHeight="false" outlineLevel="0" collapsed="false">
      <c r="A22" s="8" t="s">
        <v>1472</v>
      </c>
      <c r="B22" s="9" t="s">
        <v>562</v>
      </c>
      <c r="C22" s="9" t="s">
        <v>9</v>
      </c>
      <c r="D22" s="9" t="s">
        <v>933</v>
      </c>
      <c r="E22" s="9" t="s">
        <v>374</v>
      </c>
      <c r="F22" s="9" t="s">
        <v>1787</v>
      </c>
      <c r="G22" s="9" t="s">
        <v>1788</v>
      </c>
      <c r="H22" s="9" t="s">
        <v>1789</v>
      </c>
      <c r="I22" s="9" t="s">
        <v>1790</v>
      </c>
      <c r="J22" s="9" t="s">
        <v>1791</v>
      </c>
      <c r="K22" s="9" t="s">
        <v>1792</v>
      </c>
      <c r="L22" s="9" t="s">
        <v>541</v>
      </c>
      <c r="M22" s="9" t="s">
        <v>528</v>
      </c>
      <c r="N22" s="9" t="s">
        <v>1730</v>
      </c>
      <c r="O22" s="43"/>
    </row>
    <row r="23" customFormat="false" ht="15" hidden="false" customHeight="false" outlineLevel="0" collapsed="false">
      <c r="A23" s="8" t="s">
        <v>1483</v>
      </c>
      <c r="B23" s="9" t="s">
        <v>562</v>
      </c>
      <c r="C23" s="9" t="s">
        <v>9</v>
      </c>
      <c r="D23" s="9" t="s">
        <v>933</v>
      </c>
      <c r="E23" s="9" t="s">
        <v>1793</v>
      </c>
      <c r="F23" s="9" t="s">
        <v>1486</v>
      </c>
      <c r="G23" s="9" t="s">
        <v>1487</v>
      </c>
      <c r="H23" s="9" t="s">
        <v>1794</v>
      </c>
      <c r="I23" s="9" t="s">
        <v>37</v>
      </c>
      <c r="J23" s="9" t="s">
        <v>1795</v>
      </c>
      <c r="K23" s="9" t="s">
        <v>1796</v>
      </c>
      <c r="L23" s="9" t="s">
        <v>587</v>
      </c>
      <c r="M23" s="9" t="s">
        <v>528</v>
      </c>
      <c r="N23" s="9" t="s">
        <v>1730</v>
      </c>
      <c r="O23" s="43"/>
    </row>
    <row r="24" customFormat="false" ht="15" hidden="false" customHeight="false" outlineLevel="0" collapsed="false">
      <c r="A24" s="8" t="s">
        <v>1492</v>
      </c>
      <c r="B24" s="9" t="s">
        <v>562</v>
      </c>
      <c r="C24" s="9" t="s">
        <v>9</v>
      </c>
      <c r="D24" s="9" t="s">
        <v>933</v>
      </c>
      <c r="E24" s="9" t="s">
        <v>1797</v>
      </c>
      <c r="F24" s="9" t="s">
        <v>1798</v>
      </c>
      <c r="G24" s="9" t="s">
        <v>1487</v>
      </c>
      <c r="H24" s="9" t="s">
        <v>1799</v>
      </c>
      <c r="I24" s="9" t="s">
        <v>1496</v>
      </c>
      <c r="J24" s="9" t="s">
        <v>1800</v>
      </c>
      <c r="K24" s="9" t="s">
        <v>1801</v>
      </c>
      <c r="L24" s="9" t="s">
        <v>605</v>
      </c>
      <c r="M24" s="9" t="s">
        <v>528</v>
      </c>
      <c r="N24" s="9" t="s">
        <v>1730</v>
      </c>
      <c r="O24" s="43"/>
    </row>
    <row r="25" customFormat="false" ht="23.85" hidden="false" customHeight="false" outlineLevel="0" collapsed="false">
      <c r="A25" s="8" t="s">
        <v>1802</v>
      </c>
      <c r="B25" s="9" t="s">
        <v>562</v>
      </c>
      <c r="C25" s="9" t="s">
        <v>9</v>
      </c>
      <c r="D25" s="9" t="s">
        <v>933</v>
      </c>
      <c r="E25" s="9" t="s">
        <v>1803</v>
      </c>
      <c r="F25" s="9" t="s">
        <v>1804</v>
      </c>
      <c r="G25" s="9" t="s">
        <v>1805</v>
      </c>
      <c r="H25" s="9" t="s">
        <v>1806</v>
      </c>
      <c r="I25" s="9" t="s">
        <v>37</v>
      </c>
      <c r="J25" s="9" t="s">
        <v>1807</v>
      </c>
      <c r="K25" s="9" t="s">
        <v>1808</v>
      </c>
      <c r="L25" s="9" t="s">
        <v>587</v>
      </c>
      <c r="M25" s="9" t="s">
        <v>528</v>
      </c>
      <c r="N25" s="9" t="s">
        <v>1730</v>
      </c>
      <c r="O25" s="43"/>
    </row>
    <row r="26" customFormat="false" ht="15" hidden="false" customHeight="false" outlineLevel="0" collapsed="false">
      <c r="A26" s="8" t="s">
        <v>1510</v>
      </c>
      <c r="B26" s="9" t="s">
        <v>562</v>
      </c>
      <c r="C26" s="9" t="s">
        <v>9</v>
      </c>
      <c r="D26" s="9" t="s">
        <v>933</v>
      </c>
      <c r="E26" s="9" t="s">
        <v>1809</v>
      </c>
      <c r="F26" s="9" t="s">
        <v>1515</v>
      </c>
      <c r="G26" s="9" t="s">
        <v>1810</v>
      </c>
      <c r="H26" s="9" t="s">
        <v>1794</v>
      </c>
      <c r="I26" s="9" t="s">
        <v>1514</v>
      </c>
      <c r="J26" s="9" t="s">
        <v>1811</v>
      </c>
      <c r="K26" s="9" t="s">
        <v>1812</v>
      </c>
      <c r="L26" s="9" t="s">
        <v>541</v>
      </c>
      <c r="M26" s="9" t="s">
        <v>528</v>
      </c>
      <c r="N26" s="9" t="s">
        <v>1730</v>
      </c>
      <c r="O26" s="43"/>
    </row>
    <row r="27" customFormat="false" ht="23.85" hidden="false" customHeight="false" outlineLevel="0" collapsed="false">
      <c r="A27" s="8" t="s">
        <v>278</v>
      </c>
      <c r="B27" s="9" t="s">
        <v>562</v>
      </c>
      <c r="C27" s="9" t="s">
        <v>9</v>
      </c>
      <c r="D27" s="9" t="s">
        <v>933</v>
      </c>
      <c r="E27" s="9" t="s">
        <v>279</v>
      </c>
      <c r="F27" s="9" t="s">
        <v>1813</v>
      </c>
      <c r="G27" s="9" t="s">
        <v>1814</v>
      </c>
      <c r="H27" s="9" t="s">
        <v>1815</v>
      </c>
      <c r="I27" s="9" t="s">
        <v>1816</v>
      </c>
      <c r="J27" s="9" t="s">
        <v>1630</v>
      </c>
      <c r="K27" s="9" t="s">
        <v>1817</v>
      </c>
      <c r="L27" s="9" t="s">
        <v>527</v>
      </c>
      <c r="M27" s="9" t="s">
        <v>528</v>
      </c>
      <c r="N27" s="9" t="s">
        <v>1698</v>
      </c>
      <c r="O27" s="43"/>
    </row>
    <row r="28" customFormat="false" ht="15" hidden="false" customHeight="false" outlineLevel="0" collapsed="false">
      <c r="A28" s="8" t="s">
        <v>1530</v>
      </c>
      <c r="B28" s="9" t="s">
        <v>562</v>
      </c>
      <c r="C28" s="9" t="s">
        <v>9</v>
      </c>
      <c r="D28" s="9" t="s">
        <v>933</v>
      </c>
      <c r="E28" s="9" t="s">
        <v>306</v>
      </c>
      <c r="F28" s="9" t="s">
        <v>1818</v>
      </c>
      <c r="G28" s="9" t="s">
        <v>1535</v>
      </c>
      <c r="H28" s="9" t="s">
        <v>1536</v>
      </c>
      <c r="I28" s="9" t="s">
        <v>37</v>
      </c>
      <c r="J28" s="9" t="s">
        <v>1819</v>
      </c>
      <c r="K28" s="9" t="s">
        <v>1820</v>
      </c>
      <c r="L28" s="9" t="s">
        <v>587</v>
      </c>
      <c r="M28" s="9" t="s">
        <v>528</v>
      </c>
      <c r="N28" s="9" t="s">
        <v>1730</v>
      </c>
      <c r="O28" s="43"/>
    </row>
    <row r="29" customFormat="false" ht="15" hidden="false" customHeight="false" outlineLevel="0" collapsed="false">
      <c r="A29" s="8" t="s">
        <v>1540</v>
      </c>
      <c r="B29" s="9" t="s">
        <v>1126</v>
      </c>
      <c r="C29" s="9" t="s">
        <v>9</v>
      </c>
      <c r="D29" s="9" t="s">
        <v>933</v>
      </c>
      <c r="E29" s="9" t="s">
        <v>1821</v>
      </c>
      <c r="F29" s="9" t="s">
        <v>1822</v>
      </c>
      <c r="G29" s="9" t="s">
        <v>1823</v>
      </c>
      <c r="H29" s="9" t="s">
        <v>1545</v>
      </c>
      <c r="I29" s="9" t="s">
        <v>1824</v>
      </c>
      <c r="J29" s="9" t="s">
        <v>1825</v>
      </c>
      <c r="K29" s="9" t="s">
        <v>1826</v>
      </c>
      <c r="L29" s="9" t="s">
        <v>541</v>
      </c>
      <c r="M29" s="9" t="s">
        <v>528</v>
      </c>
      <c r="N29" s="9" t="s">
        <v>1730</v>
      </c>
      <c r="O29" s="43"/>
    </row>
    <row r="30" customFormat="false" ht="15" hidden="false" customHeight="false" outlineLevel="0" collapsed="false">
      <c r="A30" s="8" t="s">
        <v>1550</v>
      </c>
      <c r="B30" s="9" t="s">
        <v>1126</v>
      </c>
      <c r="C30" s="9" t="s">
        <v>9</v>
      </c>
      <c r="D30" s="9" t="s">
        <v>933</v>
      </c>
      <c r="E30" s="9" t="s">
        <v>1827</v>
      </c>
      <c r="F30" s="9" t="s">
        <v>1828</v>
      </c>
      <c r="G30" s="9" t="s">
        <v>1554</v>
      </c>
      <c r="H30" s="9" t="s">
        <v>1555</v>
      </c>
      <c r="I30" s="9" t="s">
        <v>1829</v>
      </c>
      <c r="J30" s="9" t="s">
        <v>1830</v>
      </c>
      <c r="K30" s="9" t="s">
        <v>1559</v>
      </c>
      <c r="L30" s="9" t="s">
        <v>541</v>
      </c>
      <c r="M30" s="9" t="s">
        <v>528</v>
      </c>
      <c r="N30" s="9" t="s">
        <v>1730</v>
      </c>
      <c r="O30" s="43"/>
    </row>
    <row r="31" customFormat="false" ht="15" hidden="false" customHeight="false" outlineLevel="0" collapsed="false">
      <c r="A31" s="8" t="s">
        <v>1831</v>
      </c>
      <c r="B31" s="9" t="s">
        <v>562</v>
      </c>
      <c r="C31" s="9" t="s">
        <v>9</v>
      </c>
      <c r="D31" s="9" t="s">
        <v>933</v>
      </c>
      <c r="E31" s="9" t="s">
        <v>1832</v>
      </c>
      <c r="F31" s="9" t="s">
        <v>1833</v>
      </c>
      <c r="G31" s="9" t="s">
        <v>1834</v>
      </c>
      <c r="H31" s="9" t="s">
        <v>1835</v>
      </c>
      <c r="I31" s="9" t="s">
        <v>1836</v>
      </c>
      <c r="J31" s="9" t="s">
        <v>1575</v>
      </c>
      <c r="K31" s="9" t="s">
        <v>1837</v>
      </c>
      <c r="L31" s="9" t="s">
        <v>587</v>
      </c>
      <c r="M31" s="9" t="s">
        <v>528</v>
      </c>
      <c r="N31" s="9" t="s">
        <v>1730</v>
      </c>
      <c r="O31" s="43"/>
    </row>
    <row r="32" customFormat="false" ht="15" hidden="false" customHeight="false" outlineLevel="0" collapsed="false">
      <c r="A32" s="8" t="s">
        <v>1569</v>
      </c>
      <c r="B32" s="9" t="s">
        <v>562</v>
      </c>
      <c r="C32" s="9" t="s">
        <v>9</v>
      </c>
      <c r="D32" s="9" t="s">
        <v>933</v>
      </c>
      <c r="E32" s="9" t="s">
        <v>1838</v>
      </c>
      <c r="F32" s="9" t="s">
        <v>1839</v>
      </c>
      <c r="G32" s="9" t="s">
        <v>1823</v>
      </c>
      <c r="H32" s="9" t="s">
        <v>1840</v>
      </c>
      <c r="I32" s="9" t="s">
        <v>37</v>
      </c>
      <c r="J32" s="9" t="s">
        <v>1575</v>
      </c>
      <c r="K32" s="9" t="s">
        <v>1578</v>
      </c>
      <c r="L32" s="9" t="s">
        <v>541</v>
      </c>
      <c r="M32" s="9" t="s">
        <v>528</v>
      </c>
      <c r="N32" s="9" t="s">
        <v>1730</v>
      </c>
      <c r="O32" s="43"/>
    </row>
    <row r="33" customFormat="false" ht="15" hidden="false" customHeight="false" outlineLevel="0" collapsed="false">
      <c r="A33" s="8" t="s">
        <v>1579</v>
      </c>
      <c r="B33" s="9" t="s">
        <v>562</v>
      </c>
      <c r="C33" s="9" t="s">
        <v>1581</v>
      </c>
      <c r="D33" s="9" t="s">
        <v>933</v>
      </c>
      <c r="E33" s="9" t="s">
        <v>1841</v>
      </c>
      <c r="F33" s="9" t="s">
        <v>1842</v>
      </c>
      <c r="G33" s="9" t="s">
        <v>1586</v>
      </c>
      <c r="H33" s="9" t="s">
        <v>1587</v>
      </c>
      <c r="I33" s="9" t="s">
        <v>1843</v>
      </c>
      <c r="J33" s="9" t="s">
        <v>1844</v>
      </c>
      <c r="K33" s="9" t="s">
        <v>1761</v>
      </c>
      <c r="L33" s="9" t="s">
        <v>587</v>
      </c>
      <c r="M33" s="9" t="s">
        <v>528</v>
      </c>
      <c r="N33" s="9" t="s">
        <v>1730</v>
      </c>
      <c r="O33" s="43"/>
    </row>
    <row r="34" customFormat="false" ht="23.85" hidden="false" customHeight="false" outlineLevel="0" collapsed="false">
      <c r="A34" s="8" t="s">
        <v>1845</v>
      </c>
      <c r="B34" s="9" t="s">
        <v>953</v>
      </c>
      <c r="C34" s="9" t="s">
        <v>1593</v>
      </c>
      <c r="D34" s="9" t="s">
        <v>1846</v>
      </c>
      <c r="E34" s="9" t="s">
        <v>1847</v>
      </c>
      <c r="F34" s="9" t="s">
        <v>1848</v>
      </c>
      <c r="G34" s="9" t="s">
        <v>1849</v>
      </c>
      <c r="H34" s="9" t="s">
        <v>1597</v>
      </c>
      <c r="I34" s="9" t="s">
        <v>1594</v>
      </c>
      <c r="J34" s="9" t="s">
        <v>1598</v>
      </c>
      <c r="K34" s="9" t="s">
        <v>1850</v>
      </c>
      <c r="L34" s="9" t="s">
        <v>587</v>
      </c>
      <c r="M34" s="9" t="s">
        <v>528</v>
      </c>
      <c r="N34" s="9" t="s">
        <v>1730</v>
      </c>
      <c r="O34" s="43"/>
    </row>
    <row r="35" customFormat="false" ht="15" hidden="false" customHeight="false" outlineLevel="0" collapsed="false">
      <c r="A35" s="8" t="s">
        <v>1851</v>
      </c>
      <c r="B35" s="9" t="s">
        <v>953</v>
      </c>
      <c r="C35" s="9" t="s">
        <v>1593</v>
      </c>
      <c r="D35" s="9" t="s">
        <v>1846</v>
      </c>
      <c r="E35" s="9" t="s">
        <v>1487</v>
      </c>
      <c r="F35" s="9" t="s">
        <v>1852</v>
      </c>
      <c r="G35" s="9" t="s">
        <v>1853</v>
      </c>
      <c r="H35" s="9" t="s">
        <v>1607</v>
      </c>
      <c r="I35" s="9" t="s">
        <v>1604</v>
      </c>
      <c r="J35" s="9" t="s">
        <v>1854</v>
      </c>
      <c r="K35" s="9" t="s">
        <v>1855</v>
      </c>
      <c r="L35" s="9" t="s">
        <v>587</v>
      </c>
      <c r="M35" s="9" t="s">
        <v>528</v>
      </c>
      <c r="N35" s="9" t="s">
        <v>1730</v>
      </c>
      <c r="O35" s="43"/>
    </row>
    <row r="36" customFormat="false" ht="15" hidden="false" customHeight="false" outlineLevel="0" collapsed="false">
      <c r="A36" s="8" t="s">
        <v>1610</v>
      </c>
      <c r="B36" s="9" t="s">
        <v>1856</v>
      </c>
      <c r="C36" s="9" t="s">
        <v>530</v>
      </c>
      <c r="D36" s="9" t="s">
        <v>1857</v>
      </c>
      <c r="E36" s="9" t="s">
        <v>1858</v>
      </c>
      <c r="F36" s="9" t="s">
        <v>1859</v>
      </c>
      <c r="G36" s="9" t="s">
        <v>1823</v>
      </c>
      <c r="H36" s="9" t="s">
        <v>1860</v>
      </c>
      <c r="I36" s="9" t="s">
        <v>1861</v>
      </c>
      <c r="J36" s="9" t="s">
        <v>1616</v>
      </c>
      <c r="K36" s="9" t="s">
        <v>1617</v>
      </c>
      <c r="L36" s="9" t="s">
        <v>605</v>
      </c>
      <c r="M36" s="9" t="s">
        <v>528</v>
      </c>
      <c r="N36" s="9" t="s">
        <v>1862</v>
      </c>
      <c r="O36" s="43"/>
    </row>
    <row r="37" customFormat="false" ht="15" hidden="false" customHeight="false" outlineLevel="0" collapsed="false">
      <c r="A37" s="8" t="s">
        <v>1618</v>
      </c>
      <c r="B37" s="9" t="s">
        <v>1863</v>
      </c>
      <c r="C37" s="9" t="s">
        <v>738</v>
      </c>
      <c r="D37" s="9" t="s">
        <v>933</v>
      </c>
      <c r="E37" s="9" t="s">
        <v>1864</v>
      </c>
      <c r="F37" s="9" t="s">
        <v>1865</v>
      </c>
      <c r="G37" s="9" t="s">
        <v>1866</v>
      </c>
      <c r="H37" s="9" t="s">
        <v>1867</v>
      </c>
      <c r="I37" s="9" t="s">
        <v>1868</v>
      </c>
      <c r="J37" s="9" t="s">
        <v>1869</v>
      </c>
      <c r="K37" s="9" t="s">
        <v>1870</v>
      </c>
      <c r="L37" s="9" t="s">
        <v>605</v>
      </c>
      <c r="M37" s="9" t="s">
        <v>528</v>
      </c>
      <c r="N37" s="9" t="s">
        <v>1730</v>
      </c>
      <c r="O37" s="43"/>
    </row>
    <row r="38" customFormat="false" ht="15" hidden="false" customHeight="false" outlineLevel="0" collapsed="false">
      <c r="A38" s="8" t="s">
        <v>1626</v>
      </c>
      <c r="B38" s="9" t="s">
        <v>195</v>
      </c>
      <c r="C38" s="9" t="s">
        <v>1871</v>
      </c>
      <c r="D38" s="9" t="s">
        <v>1857</v>
      </c>
      <c r="E38" s="9" t="s">
        <v>1691</v>
      </c>
      <c r="F38" s="9" t="s">
        <v>1872</v>
      </c>
      <c r="G38" s="9" t="s">
        <v>1866</v>
      </c>
      <c r="H38" s="9" t="s">
        <v>1873</v>
      </c>
      <c r="I38" s="9" t="s">
        <v>1874</v>
      </c>
      <c r="J38" s="9" t="s">
        <v>1875</v>
      </c>
      <c r="K38" s="9" t="s">
        <v>1876</v>
      </c>
      <c r="L38" s="9" t="s">
        <v>605</v>
      </c>
      <c r="M38" s="9" t="s">
        <v>528</v>
      </c>
      <c r="N38" s="9" t="s">
        <v>1877</v>
      </c>
      <c r="O38" s="43"/>
    </row>
    <row r="39" customFormat="false" ht="23.85" hidden="false" customHeight="false" outlineLevel="0" collapsed="false">
      <c r="A39" s="8" t="s">
        <v>1634</v>
      </c>
      <c r="B39" s="9" t="s">
        <v>1878</v>
      </c>
      <c r="C39" s="9" t="s">
        <v>1879</v>
      </c>
      <c r="D39" s="9" t="s">
        <v>1857</v>
      </c>
      <c r="E39" s="9" t="s">
        <v>1880</v>
      </c>
      <c r="F39" s="9" t="s">
        <v>1881</v>
      </c>
      <c r="G39" s="9" t="s">
        <v>1866</v>
      </c>
      <c r="H39" s="9" t="s">
        <v>1575</v>
      </c>
      <c r="I39" s="9" t="s">
        <v>1638</v>
      </c>
      <c r="J39" s="9" t="s">
        <v>1882</v>
      </c>
      <c r="K39" s="9" t="s">
        <v>656</v>
      </c>
      <c r="L39" s="9" t="s">
        <v>605</v>
      </c>
      <c r="M39" s="9" t="s">
        <v>528</v>
      </c>
      <c r="N39" s="9" t="s">
        <v>1883</v>
      </c>
      <c r="O39" s="43"/>
    </row>
    <row r="40" customFormat="false" ht="23.85" hidden="false" customHeight="false" outlineLevel="0" collapsed="false">
      <c r="A40" s="8" t="s">
        <v>299</v>
      </c>
      <c r="B40" s="9" t="s">
        <v>949</v>
      </c>
      <c r="C40" s="9" t="s">
        <v>1884</v>
      </c>
      <c r="D40" s="9" t="s">
        <v>1857</v>
      </c>
      <c r="E40" s="9" t="s">
        <v>1691</v>
      </c>
      <c r="F40" s="9" t="s">
        <v>1885</v>
      </c>
      <c r="G40" s="9" t="s">
        <v>1886</v>
      </c>
      <c r="H40" s="9" t="s">
        <v>1887</v>
      </c>
      <c r="I40" s="9" t="s">
        <v>1888</v>
      </c>
      <c r="J40" s="9" t="s">
        <v>1889</v>
      </c>
      <c r="K40" s="9" t="s">
        <v>1890</v>
      </c>
      <c r="L40" s="9" t="s">
        <v>527</v>
      </c>
      <c r="M40" s="9" t="s">
        <v>528</v>
      </c>
      <c r="N40" s="9" t="s">
        <v>1891</v>
      </c>
      <c r="O40" s="43"/>
    </row>
    <row r="41" customFormat="false" ht="23.85" hidden="false" customHeight="false" outlineLevel="0" collapsed="false">
      <c r="A41" s="8" t="s">
        <v>316</v>
      </c>
      <c r="B41" s="9" t="s">
        <v>548</v>
      </c>
      <c r="C41" s="9" t="s">
        <v>556</v>
      </c>
      <c r="D41" s="9" t="s">
        <v>1892</v>
      </c>
      <c r="E41" s="9" t="s">
        <v>1893</v>
      </c>
      <c r="F41" s="9" t="s">
        <v>1894</v>
      </c>
      <c r="G41" s="9" t="s">
        <v>1895</v>
      </c>
      <c r="H41" s="9" t="s">
        <v>1896</v>
      </c>
      <c r="I41" s="9" t="s">
        <v>1897</v>
      </c>
      <c r="J41" s="9" t="s">
        <v>1898</v>
      </c>
      <c r="K41" s="9" t="s">
        <v>1899</v>
      </c>
      <c r="L41" s="9" t="s">
        <v>541</v>
      </c>
      <c r="M41" s="9" t="s">
        <v>528</v>
      </c>
      <c r="N41" s="9" t="s">
        <v>1900</v>
      </c>
      <c r="O41" s="43"/>
    </row>
    <row r="42" customFormat="false" ht="23.85" hidden="false" customHeight="false" outlineLevel="0" collapsed="false">
      <c r="A42" s="8" t="s">
        <v>305</v>
      </c>
      <c r="B42" s="9" t="s">
        <v>307</v>
      </c>
      <c r="C42" s="9" t="s">
        <v>1901</v>
      </c>
      <c r="D42" s="9" t="s">
        <v>1892</v>
      </c>
      <c r="E42" s="9" t="s">
        <v>306</v>
      </c>
      <c r="F42" s="9" t="s">
        <v>1902</v>
      </c>
      <c r="G42" s="9" t="s">
        <v>1823</v>
      </c>
      <c r="H42" s="9" t="s">
        <v>1903</v>
      </c>
      <c r="I42" s="9" t="s">
        <v>37</v>
      </c>
      <c r="J42" s="9" t="s">
        <v>1904</v>
      </c>
      <c r="K42" s="9" t="s">
        <v>1905</v>
      </c>
      <c r="L42" s="9" t="s">
        <v>541</v>
      </c>
      <c r="M42" s="9" t="s">
        <v>528</v>
      </c>
      <c r="N42" s="9" t="s">
        <v>1906</v>
      </c>
      <c r="O42" s="43"/>
    </row>
    <row r="43" customFormat="false" ht="23.85" hidden="false" customHeight="false" outlineLevel="0" collapsed="false">
      <c r="A43" s="8" t="s">
        <v>312</v>
      </c>
      <c r="B43" s="9" t="s">
        <v>307</v>
      </c>
      <c r="C43" s="9" t="s">
        <v>522</v>
      </c>
      <c r="D43" s="9" t="s">
        <v>1892</v>
      </c>
      <c r="E43" s="9" t="s">
        <v>306</v>
      </c>
      <c r="F43" s="9" t="s">
        <v>1907</v>
      </c>
      <c r="G43" s="9" t="s">
        <v>1866</v>
      </c>
      <c r="H43" s="9" t="s">
        <v>1908</v>
      </c>
      <c r="I43" s="9" t="s">
        <v>37</v>
      </c>
      <c r="J43" s="9" t="s">
        <v>37</v>
      </c>
      <c r="K43" s="9" t="s">
        <v>314</v>
      </c>
      <c r="L43" s="9" t="s">
        <v>541</v>
      </c>
      <c r="M43" s="9" t="s">
        <v>528</v>
      </c>
      <c r="N43" s="9" t="s">
        <v>1909</v>
      </c>
      <c r="O43" s="43"/>
    </row>
    <row r="44" customFormat="false" ht="23.85" hidden="false" customHeight="false" outlineLevel="0" collapsed="false">
      <c r="A44" s="8" t="s">
        <v>1435</v>
      </c>
      <c r="B44" s="9" t="s">
        <v>1910</v>
      </c>
      <c r="C44" s="9" t="s">
        <v>522</v>
      </c>
      <c r="D44" s="9" t="s">
        <v>1911</v>
      </c>
      <c r="E44" s="9" t="s">
        <v>1691</v>
      </c>
      <c r="F44" s="9" t="s">
        <v>1912</v>
      </c>
      <c r="G44" s="9" t="s">
        <v>1913</v>
      </c>
      <c r="H44" s="9" t="s">
        <v>1442</v>
      </c>
      <c r="I44" s="9" t="s">
        <v>1439</v>
      </c>
      <c r="J44" s="9" t="s">
        <v>1914</v>
      </c>
      <c r="K44" s="9" t="s">
        <v>1915</v>
      </c>
      <c r="L44" s="9" t="s">
        <v>605</v>
      </c>
      <c r="M44" s="9" t="s">
        <v>528</v>
      </c>
      <c r="N44" s="9" t="s">
        <v>1916</v>
      </c>
      <c r="O44" s="43"/>
    </row>
    <row r="45" customFormat="false" ht="15" hidden="false" customHeight="false" outlineLevel="0" collapsed="false">
      <c r="A45" s="8" t="s">
        <v>1445</v>
      </c>
      <c r="B45" s="9" t="s">
        <v>1917</v>
      </c>
      <c r="C45" s="9" t="s">
        <v>37</v>
      </c>
      <c r="D45" s="9" t="s">
        <v>1892</v>
      </c>
      <c r="E45" s="9" t="s">
        <v>1918</v>
      </c>
      <c r="F45" s="9" t="s">
        <v>1919</v>
      </c>
      <c r="G45" s="9" t="s">
        <v>1866</v>
      </c>
      <c r="H45" s="9" t="s">
        <v>1873</v>
      </c>
      <c r="I45" s="9" t="s">
        <v>1920</v>
      </c>
      <c r="J45" s="9" t="s">
        <v>37</v>
      </c>
      <c r="K45" s="9" t="s">
        <v>1921</v>
      </c>
      <c r="L45" s="9" t="s">
        <v>605</v>
      </c>
      <c r="M45" s="9" t="s">
        <v>528</v>
      </c>
      <c r="N45" s="9" t="s">
        <v>1922</v>
      </c>
      <c r="O45" s="43"/>
    </row>
    <row r="46" customFormat="false" ht="15" hidden="false" customHeight="false" outlineLevel="0" collapsed="false">
      <c r="A46" s="8" t="s">
        <v>1644</v>
      </c>
      <c r="B46" s="9" t="s">
        <v>562</v>
      </c>
      <c r="C46" s="9" t="s">
        <v>9</v>
      </c>
      <c r="D46" s="9" t="s">
        <v>933</v>
      </c>
      <c r="E46" s="9" t="s">
        <v>1923</v>
      </c>
      <c r="F46" s="9" t="s">
        <v>1647</v>
      </c>
      <c r="G46" s="9" t="s">
        <v>1924</v>
      </c>
      <c r="H46" s="9" t="s">
        <v>1925</v>
      </c>
      <c r="I46" s="9" t="s">
        <v>1646</v>
      </c>
      <c r="J46" s="9" t="s">
        <v>37</v>
      </c>
      <c r="K46" s="9" t="s">
        <v>1926</v>
      </c>
      <c r="L46" s="9" t="s">
        <v>830</v>
      </c>
      <c r="M46" s="9" t="s">
        <v>528</v>
      </c>
      <c r="N46" s="9" t="s">
        <v>1927</v>
      </c>
      <c r="O46" s="43"/>
    </row>
    <row r="47" customFormat="false" ht="15" hidden="false" customHeight="false" outlineLevel="0" collapsed="false">
      <c r="A47" s="8" t="s">
        <v>1650</v>
      </c>
      <c r="B47" s="9" t="s">
        <v>1651</v>
      </c>
      <c r="C47" s="9" t="s">
        <v>37</v>
      </c>
      <c r="D47" s="9" t="s">
        <v>1911</v>
      </c>
      <c r="E47" s="9" t="s">
        <v>1928</v>
      </c>
      <c r="F47" s="9" t="s">
        <v>1929</v>
      </c>
      <c r="G47" s="9" t="s">
        <v>1652</v>
      </c>
      <c r="H47" s="9" t="s">
        <v>1930</v>
      </c>
      <c r="I47" s="9" t="s">
        <v>37</v>
      </c>
      <c r="J47" s="9" t="s">
        <v>37</v>
      </c>
      <c r="K47" s="9" t="s">
        <v>1931</v>
      </c>
      <c r="L47" s="9" t="s">
        <v>830</v>
      </c>
      <c r="M47" s="9" t="s">
        <v>528</v>
      </c>
      <c r="N47" s="9" t="s">
        <v>1932</v>
      </c>
      <c r="O47" s="43"/>
    </row>
    <row r="48" customFormat="false" ht="15" hidden="false" customHeight="false" outlineLevel="0" collapsed="false">
      <c r="A48" s="8" t="s">
        <v>1668</v>
      </c>
      <c r="B48" s="9" t="s">
        <v>562</v>
      </c>
      <c r="C48" s="9" t="s">
        <v>9</v>
      </c>
      <c r="D48" s="9" t="s">
        <v>933</v>
      </c>
      <c r="E48" s="9" t="s">
        <v>1669</v>
      </c>
      <c r="F48" s="9" t="s">
        <v>1933</v>
      </c>
      <c r="G48" s="9" t="s">
        <v>1934</v>
      </c>
      <c r="H48" s="9" t="s">
        <v>1935</v>
      </c>
      <c r="I48" s="9" t="s">
        <v>1936</v>
      </c>
      <c r="J48" s="9" t="s">
        <v>1937</v>
      </c>
      <c r="K48" s="9" t="s">
        <v>1938</v>
      </c>
      <c r="L48" s="9" t="s">
        <v>830</v>
      </c>
      <c r="M48" s="9" t="s">
        <v>528</v>
      </c>
      <c r="N48" s="9" t="s">
        <v>1932</v>
      </c>
      <c r="O48" s="43"/>
    </row>
    <row r="49" customFormat="false" ht="15" hidden="false" customHeight="false" outlineLevel="0" collapsed="false">
      <c r="A49" s="8" t="s">
        <v>1676</v>
      </c>
      <c r="B49" s="9" t="s">
        <v>953</v>
      </c>
      <c r="C49" s="9" t="s">
        <v>1593</v>
      </c>
      <c r="D49" s="9" t="s">
        <v>1846</v>
      </c>
      <c r="E49" s="9" t="s">
        <v>1939</v>
      </c>
      <c r="F49" s="9" t="s">
        <v>37</v>
      </c>
      <c r="G49" s="9" t="s">
        <v>1940</v>
      </c>
      <c r="H49" s="9" t="s">
        <v>37</v>
      </c>
      <c r="I49" s="9" t="s">
        <v>37</v>
      </c>
      <c r="J49" s="9" t="s">
        <v>37</v>
      </c>
      <c r="K49" s="9" t="s">
        <v>1941</v>
      </c>
      <c r="L49" s="9" t="s">
        <v>830</v>
      </c>
      <c r="M49" s="9" t="s">
        <v>528</v>
      </c>
      <c r="N49" s="9" t="s">
        <v>1942</v>
      </c>
      <c r="O49" s="43"/>
    </row>
    <row r="50" customFormat="false" ht="23.85" hidden="false" customHeight="false" outlineLevel="0" collapsed="false">
      <c r="A50" s="8" t="s">
        <v>319</v>
      </c>
      <c r="B50" s="9" t="s">
        <v>562</v>
      </c>
      <c r="C50" s="9" t="s">
        <v>9</v>
      </c>
      <c r="D50" s="9" t="s">
        <v>933</v>
      </c>
      <c r="E50" s="9" t="s">
        <v>1893</v>
      </c>
      <c r="F50" s="9" t="s">
        <v>1943</v>
      </c>
      <c r="G50" s="9" t="s">
        <v>1944</v>
      </c>
      <c r="H50" s="9" t="s">
        <v>1945</v>
      </c>
      <c r="I50" s="9" t="s">
        <v>1946</v>
      </c>
      <c r="J50" s="9" t="s">
        <v>1947</v>
      </c>
      <c r="K50" s="9" t="s">
        <v>1948</v>
      </c>
      <c r="L50" s="9" t="s">
        <v>527</v>
      </c>
      <c r="M50" s="9" t="s">
        <v>588</v>
      </c>
      <c r="N50" s="9" t="s">
        <v>1949</v>
      </c>
      <c r="O50" s="43"/>
    </row>
    <row r="51" customFormat="false" ht="23.85" hidden="false" customHeight="false" outlineLevel="0" collapsed="false">
      <c r="A51" s="8" t="s">
        <v>1950</v>
      </c>
      <c r="B51" s="9" t="s">
        <v>562</v>
      </c>
      <c r="C51" s="9" t="s">
        <v>9</v>
      </c>
      <c r="D51" s="9" t="s">
        <v>933</v>
      </c>
      <c r="E51" s="9" t="s">
        <v>1951</v>
      </c>
      <c r="F51" s="9" t="s">
        <v>1872</v>
      </c>
      <c r="G51" s="9" t="s">
        <v>1952</v>
      </c>
      <c r="H51" s="9" t="s">
        <v>1953</v>
      </c>
      <c r="I51" s="9" t="s">
        <v>1954</v>
      </c>
      <c r="J51" s="9" t="s">
        <v>1955</v>
      </c>
      <c r="K51" s="9" t="s">
        <v>1956</v>
      </c>
      <c r="L51" s="9" t="s">
        <v>541</v>
      </c>
      <c r="M51" s="9" t="s">
        <v>588</v>
      </c>
      <c r="N51" s="9" t="s">
        <v>1957</v>
      </c>
      <c r="O51" s="43"/>
    </row>
    <row r="52" customFormat="false" ht="23.85" hidden="false" customHeight="false" outlineLevel="0" collapsed="false">
      <c r="A52" s="8" t="s">
        <v>357</v>
      </c>
      <c r="B52" s="9" t="s">
        <v>562</v>
      </c>
      <c r="C52" s="9" t="s">
        <v>9</v>
      </c>
      <c r="D52" s="9" t="s">
        <v>933</v>
      </c>
      <c r="E52" s="9" t="s">
        <v>1691</v>
      </c>
      <c r="F52" s="9" t="s">
        <v>1872</v>
      </c>
      <c r="G52" s="9" t="s">
        <v>1886</v>
      </c>
      <c r="H52" s="9" t="s">
        <v>1958</v>
      </c>
      <c r="I52" s="9" t="s">
        <v>1959</v>
      </c>
      <c r="J52" s="9" t="s">
        <v>1960</v>
      </c>
      <c r="K52" s="9" t="s">
        <v>1961</v>
      </c>
      <c r="L52" s="9" t="s">
        <v>541</v>
      </c>
      <c r="M52" s="9" t="s">
        <v>588</v>
      </c>
      <c r="N52" s="9" t="s">
        <v>1962</v>
      </c>
      <c r="O52" s="43"/>
    </row>
    <row r="53" customFormat="false" ht="23.85" hidden="false" customHeight="false" outlineLevel="0" collapsed="false">
      <c r="A53" s="8" t="s">
        <v>347</v>
      </c>
      <c r="B53" s="9" t="s">
        <v>562</v>
      </c>
      <c r="C53" s="9" t="s">
        <v>9</v>
      </c>
      <c r="D53" s="9" t="s">
        <v>933</v>
      </c>
      <c r="E53" s="9" t="s">
        <v>1781</v>
      </c>
      <c r="F53" s="9" t="s">
        <v>1943</v>
      </c>
      <c r="G53" s="9" t="s">
        <v>1963</v>
      </c>
      <c r="H53" s="9" t="s">
        <v>1964</v>
      </c>
      <c r="I53" s="9" t="s">
        <v>1965</v>
      </c>
      <c r="J53" s="9" t="s">
        <v>1966</v>
      </c>
      <c r="K53" s="9" t="s">
        <v>1967</v>
      </c>
      <c r="L53" s="9" t="s">
        <v>527</v>
      </c>
      <c r="M53" s="9" t="s">
        <v>588</v>
      </c>
      <c r="N53" s="9" t="s">
        <v>1968</v>
      </c>
      <c r="O53" s="43"/>
    </row>
    <row r="54" customFormat="false" ht="23.85" hidden="false" customHeight="false" outlineLevel="0" collapsed="false">
      <c r="A54" s="8" t="s">
        <v>351</v>
      </c>
      <c r="B54" s="9" t="s">
        <v>353</v>
      </c>
      <c r="C54" s="9" t="s">
        <v>530</v>
      </c>
      <c r="D54" s="9" t="s">
        <v>933</v>
      </c>
      <c r="E54" s="9" t="s">
        <v>1969</v>
      </c>
      <c r="F54" s="9" t="s">
        <v>1970</v>
      </c>
      <c r="G54" s="9" t="s">
        <v>1971</v>
      </c>
      <c r="H54" s="9" t="s">
        <v>1972</v>
      </c>
      <c r="I54" s="9" t="s">
        <v>1973</v>
      </c>
      <c r="J54" s="9" t="s">
        <v>1974</v>
      </c>
      <c r="K54" s="9" t="s">
        <v>1975</v>
      </c>
      <c r="L54" s="9" t="s">
        <v>527</v>
      </c>
      <c r="M54" s="9" t="s">
        <v>588</v>
      </c>
      <c r="N54" s="9" t="s">
        <v>1976</v>
      </c>
      <c r="O54" s="43"/>
    </row>
    <row r="55" customFormat="false" ht="15" hidden="false" customHeight="false" outlineLevel="0" collapsed="false">
      <c r="A55" s="8" t="s">
        <v>1977</v>
      </c>
      <c r="B55" s="9" t="s">
        <v>562</v>
      </c>
      <c r="C55" s="9" t="s">
        <v>9</v>
      </c>
      <c r="D55" s="9" t="s">
        <v>933</v>
      </c>
      <c r="E55" s="9" t="s">
        <v>1880</v>
      </c>
      <c r="F55" s="9" t="s">
        <v>1872</v>
      </c>
      <c r="G55" s="9" t="s">
        <v>1866</v>
      </c>
      <c r="H55" s="9" t="s">
        <v>1978</v>
      </c>
      <c r="I55" s="9" t="s">
        <v>1979</v>
      </c>
      <c r="J55" s="9" t="s">
        <v>1980</v>
      </c>
      <c r="K55" s="9" t="s">
        <v>1229</v>
      </c>
      <c r="L55" s="9" t="s">
        <v>587</v>
      </c>
      <c r="M55" s="9" t="s">
        <v>588</v>
      </c>
      <c r="N55" s="9" t="s">
        <v>1981</v>
      </c>
      <c r="O55" s="43"/>
    </row>
    <row r="56" customFormat="false" ht="15" hidden="false" customHeight="false" outlineLevel="0" collapsed="false">
      <c r="A56" s="8" t="s">
        <v>1982</v>
      </c>
      <c r="B56" s="9" t="s">
        <v>1983</v>
      </c>
      <c r="C56" s="9" t="s">
        <v>9</v>
      </c>
      <c r="D56" s="9" t="s">
        <v>933</v>
      </c>
      <c r="E56" s="9" t="s">
        <v>1984</v>
      </c>
      <c r="F56" s="9" t="s">
        <v>1872</v>
      </c>
      <c r="G56" s="9" t="s">
        <v>1895</v>
      </c>
      <c r="H56" s="9" t="s">
        <v>1985</v>
      </c>
      <c r="I56" s="9" t="s">
        <v>1986</v>
      </c>
      <c r="J56" s="9" t="s">
        <v>37</v>
      </c>
      <c r="K56" s="9" t="s">
        <v>1987</v>
      </c>
      <c r="L56" s="9" t="s">
        <v>605</v>
      </c>
      <c r="M56" s="9" t="s">
        <v>588</v>
      </c>
      <c r="N56" s="9" t="s">
        <v>1988</v>
      </c>
      <c r="O56" s="43"/>
    </row>
    <row r="57" customFormat="false" ht="23.85" hidden="false" customHeight="false" outlineLevel="0" collapsed="false">
      <c r="A57" s="8" t="s">
        <v>1989</v>
      </c>
      <c r="B57" s="9" t="s">
        <v>562</v>
      </c>
      <c r="C57" s="9" t="s">
        <v>9</v>
      </c>
      <c r="D57" s="9" t="s">
        <v>933</v>
      </c>
      <c r="E57" s="9" t="s">
        <v>1990</v>
      </c>
      <c r="F57" s="9" t="s">
        <v>1872</v>
      </c>
      <c r="G57" s="9" t="s">
        <v>1991</v>
      </c>
      <c r="H57" s="9" t="s">
        <v>1873</v>
      </c>
      <c r="I57" s="9" t="s">
        <v>1992</v>
      </c>
      <c r="J57" s="9" t="s">
        <v>37</v>
      </c>
      <c r="K57" s="9" t="s">
        <v>1993</v>
      </c>
      <c r="L57" s="9" t="s">
        <v>605</v>
      </c>
      <c r="M57" s="9" t="s">
        <v>588</v>
      </c>
      <c r="N57" s="9" t="s">
        <v>1994</v>
      </c>
      <c r="O57" s="43"/>
    </row>
    <row r="58" customFormat="false" ht="15" hidden="false" customHeight="false" outlineLevel="0" collapsed="false">
      <c r="A58" s="8" t="s">
        <v>1995</v>
      </c>
      <c r="B58" s="9" t="s">
        <v>562</v>
      </c>
      <c r="C58" s="9" t="s">
        <v>9</v>
      </c>
      <c r="D58" s="9" t="s">
        <v>933</v>
      </c>
      <c r="E58" s="9" t="s">
        <v>1996</v>
      </c>
      <c r="F58" s="9" t="s">
        <v>1872</v>
      </c>
      <c r="G58" s="9" t="s">
        <v>1997</v>
      </c>
      <c r="H58" s="9" t="s">
        <v>1998</v>
      </c>
      <c r="I58" s="9" t="s">
        <v>1999</v>
      </c>
      <c r="J58" s="9" t="s">
        <v>2000</v>
      </c>
      <c r="K58" s="9" t="s">
        <v>2001</v>
      </c>
      <c r="L58" s="9" t="s">
        <v>587</v>
      </c>
      <c r="M58" s="9" t="s">
        <v>588</v>
      </c>
      <c r="N58" s="9" t="s">
        <v>2002</v>
      </c>
      <c r="O58" s="43"/>
    </row>
    <row r="59" customFormat="false" ht="23.85" hidden="false" customHeight="false" outlineLevel="0" collapsed="false">
      <c r="A59" s="8" t="s">
        <v>2003</v>
      </c>
      <c r="B59" s="9" t="s">
        <v>353</v>
      </c>
      <c r="C59" s="9" t="s">
        <v>9</v>
      </c>
      <c r="D59" s="9" t="s">
        <v>933</v>
      </c>
      <c r="E59" s="9" t="s">
        <v>2004</v>
      </c>
      <c r="F59" s="9" t="s">
        <v>2005</v>
      </c>
      <c r="G59" s="9" t="s">
        <v>2006</v>
      </c>
      <c r="H59" s="9" t="s">
        <v>2007</v>
      </c>
      <c r="I59" s="9" t="s">
        <v>2008</v>
      </c>
      <c r="J59" s="9" t="s">
        <v>2009</v>
      </c>
      <c r="K59" s="9" t="s">
        <v>2010</v>
      </c>
      <c r="L59" s="9" t="s">
        <v>587</v>
      </c>
      <c r="M59" s="9" t="s">
        <v>588</v>
      </c>
      <c r="N59" s="9" t="s">
        <v>2011</v>
      </c>
      <c r="O59" s="43"/>
    </row>
    <row r="60" customFormat="false" ht="15" hidden="false" customHeight="false" outlineLevel="0" collapsed="false">
      <c r="A60" s="8" t="s">
        <v>2012</v>
      </c>
      <c r="B60" s="9" t="s">
        <v>562</v>
      </c>
      <c r="C60" s="9" t="s">
        <v>9</v>
      </c>
      <c r="D60" s="9" t="s">
        <v>933</v>
      </c>
      <c r="E60" s="9" t="s">
        <v>2013</v>
      </c>
      <c r="F60" s="9" t="s">
        <v>2014</v>
      </c>
      <c r="G60" s="9" t="s">
        <v>1823</v>
      </c>
      <c r="H60" s="9" t="s">
        <v>2015</v>
      </c>
      <c r="I60" s="9" t="s">
        <v>2016</v>
      </c>
      <c r="J60" s="9" t="s">
        <v>1616</v>
      </c>
      <c r="K60" s="9" t="s">
        <v>2017</v>
      </c>
      <c r="L60" s="9" t="s">
        <v>587</v>
      </c>
      <c r="M60" s="9" t="s">
        <v>588</v>
      </c>
      <c r="N60" s="9" t="s">
        <v>2018</v>
      </c>
      <c r="O60" s="43"/>
    </row>
    <row r="61" customFormat="false" ht="23.85" hidden="false" customHeight="false" outlineLevel="0" collapsed="false">
      <c r="A61" s="8" t="s">
        <v>323</v>
      </c>
      <c r="B61" s="9" t="s">
        <v>555</v>
      </c>
      <c r="C61" s="9" t="s">
        <v>738</v>
      </c>
      <c r="D61" s="9" t="s">
        <v>1892</v>
      </c>
      <c r="E61" s="9" t="s">
        <v>2019</v>
      </c>
      <c r="F61" s="9" t="s">
        <v>2020</v>
      </c>
      <c r="G61" s="9" t="s">
        <v>2021</v>
      </c>
      <c r="H61" s="9" t="s">
        <v>2022</v>
      </c>
      <c r="I61" s="9" t="s">
        <v>2023</v>
      </c>
      <c r="J61" s="9" t="s">
        <v>2024</v>
      </c>
      <c r="K61" s="9" t="s">
        <v>2025</v>
      </c>
      <c r="L61" s="9" t="s">
        <v>541</v>
      </c>
      <c r="M61" s="9" t="s">
        <v>588</v>
      </c>
      <c r="N61" s="9" t="s">
        <v>2026</v>
      </c>
      <c r="O61" s="43"/>
    </row>
    <row r="62" customFormat="false" ht="23.85" hidden="false" customHeight="false" outlineLevel="0" collapsed="false">
      <c r="A62" s="8" t="s">
        <v>329</v>
      </c>
      <c r="B62" s="9" t="s">
        <v>555</v>
      </c>
      <c r="C62" s="9" t="s">
        <v>738</v>
      </c>
      <c r="D62" s="9" t="s">
        <v>1892</v>
      </c>
      <c r="E62" s="9" t="s">
        <v>1691</v>
      </c>
      <c r="F62" s="9" t="s">
        <v>2027</v>
      </c>
      <c r="G62" s="9" t="s">
        <v>2028</v>
      </c>
      <c r="H62" s="9" t="s">
        <v>2029</v>
      </c>
      <c r="I62" s="9" t="s">
        <v>2030</v>
      </c>
      <c r="J62" s="9" t="s">
        <v>2031</v>
      </c>
      <c r="K62" s="9" t="s">
        <v>2032</v>
      </c>
      <c r="L62" s="9" t="s">
        <v>541</v>
      </c>
      <c r="M62" s="9" t="s">
        <v>588</v>
      </c>
      <c r="N62" s="9" t="s">
        <v>2033</v>
      </c>
      <c r="O62" s="43"/>
    </row>
    <row r="63" customFormat="false" ht="23.85" hidden="false" customHeight="false" outlineLevel="0" collapsed="false">
      <c r="A63" s="8" t="s">
        <v>332</v>
      </c>
      <c r="B63" s="9" t="s">
        <v>781</v>
      </c>
      <c r="C63" s="9" t="s">
        <v>738</v>
      </c>
      <c r="D63" s="9" t="s">
        <v>1892</v>
      </c>
      <c r="E63" s="9" t="s">
        <v>1691</v>
      </c>
      <c r="F63" s="9" t="s">
        <v>2034</v>
      </c>
      <c r="G63" s="9" t="s">
        <v>2035</v>
      </c>
      <c r="H63" s="9" t="s">
        <v>2036</v>
      </c>
      <c r="I63" s="9" t="s">
        <v>2037</v>
      </c>
      <c r="J63" s="9" t="s">
        <v>2038</v>
      </c>
      <c r="K63" s="9" t="s">
        <v>2039</v>
      </c>
      <c r="L63" s="9" t="s">
        <v>541</v>
      </c>
      <c r="M63" s="9" t="s">
        <v>588</v>
      </c>
      <c r="N63" s="9" t="s">
        <v>2040</v>
      </c>
      <c r="O63" s="43"/>
    </row>
    <row r="64" customFormat="false" ht="15" hidden="false" customHeight="false" outlineLevel="0" collapsed="false">
      <c r="A64" s="8" t="s">
        <v>2041</v>
      </c>
      <c r="B64" s="9" t="s">
        <v>555</v>
      </c>
      <c r="C64" s="9" t="s">
        <v>37</v>
      </c>
      <c r="D64" s="9" t="s">
        <v>1892</v>
      </c>
      <c r="E64" s="9" t="s">
        <v>1893</v>
      </c>
      <c r="F64" s="9" t="s">
        <v>2042</v>
      </c>
      <c r="G64" s="9" t="s">
        <v>1895</v>
      </c>
      <c r="H64" s="9" t="s">
        <v>2043</v>
      </c>
      <c r="I64" s="9" t="s">
        <v>2044</v>
      </c>
      <c r="J64" s="9" t="s">
        <v>2045</v>
      </c>
      <c r="K64" s="9" t="s">
        <v>2046</v>
      </c>
      <c r="L64" s="9" t="s">
        <v>541</v>
      </c>
      <c r="M64" s="9" t="s">
        <v>588</v>
      </c>
      <c r="N64" s="9" t="s">
        <v>2047</v>
      </c>
      <c r="O64" s="43"/>
    </row>
    <row r="65" customFormat="false" ht="23.85" hidden="false" customHeight="false" outlineLevel="0" collapsed="false">
      <c r="A65" s="8" t="s">
        <v>336</v>
      </c>
      <c r="B65" s="9" t="s">
        <v>338</v>
      </c>
      <c r="C65" s="9" t="s">
        <v>738</v>
      </c>
      <c r="D65" s="9" t="s">
        <v>1857</v>
      </c>
      <c r="E65" s="9" t="s">
        <v>1893</v>
      </c>
      <c r="F65" s="9" t="s">
        <v>2048</v>
      </c>
      <c r="G65" s="9" t="s">
        <v>2049</v>
      </c>
      <c r="H65" s="9" t="s">
        <v>2050</v>
      </c>
      <c r="I65" s="9" t="s">
        <v>2051</v>
      </c>
      <c r="J65" s="9" t="s">
        <v>2052</v>
      </c>
      <c r="K65" s="9" t="s">
        <v>2053</v>
      </c>
      <c r="L65" s="9" t="s">
        <v>541</v>
      </c>
      <c r="M65" s="9" t="s">
        <v>588</v>
      </c>
      <c r="N65" s="9" t="s">
        <v>2054</v>
      </c>
      <c r="O65" s="43"/>
    </row>
    <row r="66" customFormat="false" ht="23.85" hidden="false" customHeight="false" outlineLevel="0" collapsed="false">
      <c r="A66" s="8" t="s">
        <v>2055</v>
      </c>
      <c r="B66" s="9" t="s">
        <v>555</v>
      </c>
      <c r="C66" s="9" t="s">
        <v>37</v>
      </c>
      <c r="D66" s="9" t="s">
        <v>1892</v>
      </c>
      <c r="E66" s="9" t="s">
        <v>1691</v>
      </c>
      <c r="F66" s="9" t="s">
        <v>2056</v>
      </c>
      <c r="G66" s="9" t="s">
        <v>2057</v>
      </c>
      <c r="H66" s="9" t="s">
        <v>2058</v>
      </c>
      <c r="I66" s="9" t="s">
        <v>2059</v>
      </c>
      <c r="J66" s="9" t="s">
        <v>2060</v>
      </c>
      <c r="K66" s="9" t="s">
        <v>2061</v>
      </c>
      <c r="L66" s="9" t="s">
        <v>541</v>
      </c>
      <c r="M66" s="9" t="s">
        <v>588</v>
      </c>
      <c r="N66" s="9" t="s">
        <v>2062</v>
      </c>
      <c r="O66" s="43"/>
    </row>
    <row r="67" customFormat="false" ht="15" hidden="false" customHeight="false" outlineLevel="0" collapsed="false">
      <c r="A67" s="8" t="s">
        <v>2063</v>
      </c>
      <c r="B67" s="9" t="s">
        <v>555</v>
      </c>
      <c r="C67" s="9" t="s">
        <v>37</v>
      </c>
      <c r="D67" s="9" t="s">
        <v>1892</v>
      </c>
      <c r="E67" s="9" t="s">
        <v>1691</v>
      </c>
      <c r="F67" s="9" t="s">
        <v>2064</v>
      </c>
      <c r="G67" s="9" t="s">
        <v>2065</v>
      </c>
      <c r="H67" s="9" t="s">
        <v>2066</v>
      </c>
      <c r="I67" s="9" t="s">
        <v>2067</v>
      </c>
      <c r="J67" s="9" t="s">
        <v>2068</v>
      </c>
      <c r="K67" s="9" t="s">
        <v>2069</v>
      </c>
      <c r="L67" s="9" t="s">
        <v>587</v>
      </c>
      <c r="M67" s="9" t="s">
        <v>588</v>
      </c>
      <c r="N67" s="9" t="s">
        <v>2070</v>
      </c>
      <c r="O67" s="43"/>
    </row>
    <row r="68" customFormat="false" ht="23.85" hidden="false" customHeight="false" outlineLevel="0" collapsed="false">
      <c r="A68" s="8" t="s">
        <v>2071</v>
      </c>
      <c r="B68" s="9" t="s">
        <v>555</v>
      </c>
      <c r="C68" s="9" t="s">
        <v>738</v>
      </c>
      <c r="D68" s="9" t="s">
        <v>1892</v>
      </c>
      <c r="E68" s="9" t="s">
        <v>1691</v>
      </c>
      <c r="F68" s="9" t="s">
        <v>2072</v>
      </c>
      <c r="G68" s="9" t="s">
        <v>2073</v>
      </c>
      <c r="H68" s="9" t="s">
        <v>2074</v>
      </c>
      <c r="I68" s="9" t="s">
        <v>2075</v>
      </c>
      <c r="J68" s="9" t="s">
        <v>2076</v>
      </c>
      <c r="K68" s="9" t="s">
        <v>2077</v>
      </c>
      <c r="L68" s="9" t="s">
        <v>541</v>
      </c>
      <c r="M68" s="9" t="s">
        <v>588</v>
      </c>
      <c r="N68" s="9" t="s">
        <v>2078</v>
      </c>
      <c r="O68" s="43"/>
    </row>
    <row r="69" customFormat="false" ht="15" hidden="false" customHeight="false" outlineLevel="0" collapsed="false">
      <c r="A69" s="8" t="s">
        <v>2079</v>
      </c>
      <c r="B69" s="9" t="s">
        <v>555</v>
      </c>
      <c r="C69" s="9" t="s">
        <v>37</v>
      </c>
      <c r="D69" s="9" t="s">
        <v>1892</v>
      </c>
      <c r="E69" s="9" t="s">
        <v>1880</v>
      </c>
      <c r="F69" s="9" t="s">
        <v>2080</v>
      </c>
      <c r="G69" s="9" t="s">
        <v>2081</v>
      </c>
      <c r="H69" s="9" t="s">
        <v>2082</v>
      </c>
      <c r="I69" s="9" t="s">
        <v>2083</v>
      </c>
      <c r="J69" s="9" t="s">
        <v>2084</v>
      </c>
      <c r="K69" s="9" t="s">
        <v>2085</v>
      </c>
      <c r="L69" s="9" t="s">
        <v>587</v>
      </c>
      <c r="M69" s="9" t="s">
        <v>588</v>
      </c>
      <c r="N69" s="9" t="s">
        <v>1709</v>
      </c>
      <c r="O69" s="43"/>
    </row>
    <row r="70" customFormat="false" ht="23.85" hidden="false" customHeight="false" outlineLevel="0" collapsed="false">
      <c r="A70" s="8" t="s">
        <v>2086</v>
      </c>
      <c r="B70" s="9" t="s">
        <v>555</v>
      </c>
      <c r="C70" s="9" t="s">
        <v>37</v>
      </c>
      <c r="D70" s="9" t="s">
        <v>1892</v>
      </c>
      <c r="E70" s="9" t="s">
        <v>1691</v>
      </c>
      <c r="F70" s="9" t="s">
        <v>2087</v>
      </c>
      <c r="G70" s="9" t="s">
        <v>2088</v>
      </c>
      <c r="H70" s="9" t="s">
        <v>2089</v>
      </c>
      <c r="I70" s="9" t="s">
        <v>2090</v>
      </c>
      <c r="J70" s="9" t="s">
        <v>2091</v>
      </c>
      <c r="K70" s="9" t="s">
        <v>2092</v>
      </c>
      <c r="L70" s="9" t="s">
        <v>541</v>
      </c>
      <c r="M70" s="9" t="s">
        <v>588</v>
      </c>
      <c r="N70" s="9" t="s">
        <v>2093</v>
      </c>
      <c r="O70" s="43"/>
    </row>
    <row r="71" customFormat="false" ht="23.85" hidden="false" customHeight="false" outlineLevel="0" collapsed="false">
      <c r="A71" s="8" t="s">
        <v>361</v>
      </c>
      <c r="B71" s="9" t="s">
        <v>363</v>
      </c>
      <c r="C71" s="9" t="s">
        <v>738</v>
      </c>
      <c r="D71" s="9" t="s">
        <v>1892</v>
      </c>
      <c r="E71" s="9" t="s">
        <v>2094</v>
      </c>
      <c r="F71" s="9" t="s">
        <v>2095</v>
      </c>
      <c r="G71" s="9" t="s">
        <v>2096</v>
      </c>
      <c r="H71" s="9" t="s">
        <v>2097</v>
      </c>
      <c r="I71" s="9" t="s">
        <v>2098</v>
      </c>
      <c r="J71" s="9" t="s">
        <v>2099</v>
      </c>
      <c r="K71" s="9" t="s">
        <v>2100</v>
      </c>
      <c r="L71" s="9" t="s">
        <v>541</v>
      </c>
      <c r="M71" s="9" t="s">
        <v>588</v>
      </c>
      <c r="N71" s="9" t="s">
        <v>2101</v>
      </c>
      <c r="O71" s="43"/>
    </row>
    <row r="72" customFormat="false" ht="15" hidden="false" customHeight="false" outlineLevel="0" collapsed="false">
      <c r="A72" s="8" t="s">
        <v>2102</v>
      </c>
      <c r="B72" s="9" t="s">
        <v>2103</v>
      </c>
      <c r="C72" s="9" t="s">
        <v>522</v>
      </c>
      <c r="D72" s="9" t="s">
        <v>1892</v>
      </c>
      <c r="E72" s="9" t="s">
        <v>1803</v>
      </c>
      <c r="F72" s="9" t="s">
        <v>1872</v>
      </c>
      <c r="G72" s="9" t="s">
        <v>2104</v>
      </c>
      <c r="H72" s="9" t="s">
        <v>2105</v>
      </c>
      <c r="I72" s="9" t="s">
        <v>2106</v>
      </c>
      <c r="J72" s="9" t="s">
        <v>2107</v>
      </c>
      <c r="K72" s="9" t="s">
        <v>2108</v>
      </c>
      <c r="L72" s="9" t="s">
        <v>587</v>
      </c>
      <c r="M72" s="9" t="s">
        <v>588</v>
      </c>
      <c r="N72" s="9" t="s">
        <v>2109</v>
      </c>
      <c r="O72" s="43"/>
    </row>
    <row r="73" customFormat="false" ht="15" hidden="false" customHeight="false" outlineLevel="0" collapsed="false">
      <c r="A73" s="8" t="s">
        <v>2110</v>
      </c>
      <c r="B73" s="9" t="s">
        <v>555</v>
      </c>
      <c r="C73" s="9" t="s">
        <v>37</v>
      </c>
      <c r="D73" s="9" t="s">
        <v>1892</v>
      </c>
      <c r="E73" s="9" t="s">
        <v>1880</v>
      </c>
      <c r="F73" s="9" t="s">
        <v>2111</v>
      </c>
      <c r="G73" s="9" t="s">
        <v>2104</v>
      </c>
      <c r="H73" s="9" t="s">
        <v>2066</v>
      </c>
      <c r="I73" s="9" t="s">
        <v>2112</v>
      </c>
      <c r="J73" s="9" t="s">
        <v>2113</v>
      </c>
      <c r="K73" s="9" t="s">
        <v>2114</v>
      </c>
      <c r="L73" s="9" t="s">
        <v>587</v>
      </c>
      <c r="M73" s="9" t="s">
        <v>588</v>
      </c>
      <c r="N73" s="9"/>
      <c r="O73" s="43"/>
    </row>
    <row r="74" customFormat="false" ht="15" hidden="false" customHeight="false" outlineLevel="0" collapsed="false">
      <c r="A74" s="8" t="s">
        <v>2115</v>
      </c>
      <c r="B74" s="9" t="s">
        <v>2116</v>
      </c>
      <c r="C74" s="9" t="s">
        <v>37</v>
      </c>
      <c r="D74" s="9" t="s">
        <v>1892</v>
      </c>
      <c r="E74" s="9" t="s">
        <v>2117</v>
      </c>
      <c r="F74" s="9" t="s">
        <v>1872</v>
      </c>
      <c r="G74" s="9" t="s">
        <v>2104</v>
      </c>
      <c r="H74" s="9" t="s">
        <v>2118</v>
      </c>
      <c r="I74" s="9" t="s">
        <v>2119</v>
      </c>
      <c r="J74" s="9" t="s">
        <v>2120</v>
      </c>
      <c r="K74" s="9" t="s">
        <v>2121</v>
      </c>
      <c r="L74" s="9" t="s">
        <v>587</v>
      </c>
      <c r="M74" s="9" t="s">
        <v>588</v>
      </c>
      <c r="N74" s="9"/>
      <c r="O74" s="43"/>
    </row>
    <row r="75" customFormat="false" ht="15" hidden="false" customHeight="false" outlineLevel="0" collapsed="false">
      <c r="A75" s="8" t="s">
        <v>2122</v>
      </c>
      <c r="B75" s="9" t="s">
        <v>555</v>
      </c>
      <c r="C75" s="9" t="s">
        <v>37</v>
      </c>
      <c r="D75" s="9" t="s">
        <v>1892</v>
      </c>
      <c r="E75" s="9" t="s">
        <v>2123</v>
      </c>
      <c r="F75" s="9" t="s">
        <v>2124</v>
      </c>
      <c r="G75" s="9" t="s">
        <v>2125</v>
      </c>
      <c r="H75" s="9" t="s">
        <v>1409</v>
      </c>
      <c r="I75" s="9" t="s">
        <v>2126</v>
      </c>
      <c r="J75" s="9" t="s">
        <v>2127</v>
      </c>
      <c r="K75" s="9" t="s">
        <v>2128</v>
      </c>
      <c r="L75" s="9" t="s">
        <v>587</v>
      </c>
      <c r="M75" s="9" t="s">
        <v>588</v>
      </c>
      <c r="N75" s="9" t="s">
        <v>2129</v>
      </c>
      <c r="O75" s="43"/>
    </row>
    <row r="76" customFormat="false" ht="15" hidden="false" customHeight="false" outlineLevel="0" collapsed="false">
      <c r="A76" s="8" t="s">
        <v>2130</v>
      </c>
      <c r="B76" s="9" t="s">
        <v>199</v>
      </c>
      <c r="C76" s="9" t="s">
        <v>37</v>
      </c>
      <c r="D76" s="9" t="s">
        <v>1892</v>
      </c>
      <c r="E76" s="9" t="s">
        <v>2131</v>
      </c>
      <c r="F76" s="9" t="s">
        <v>1872</v>
      </c>
      <c r="G76" s="9" t="s">
        <v>2132</v>
      </c>
      <c r="H76" s="9" t="s">
        <v>2133</v>
      </c>
      <c r="I76" s="9" t="s">
        <v>2134</v>
      </c>
      <c r="J76" s="9" t="s">
        <v>2135</v>
      </c>
      <c r="K76" s="9" t="s">
        <v>2136</v>
      </c>
      <c r="L76" s="9" t="s">
        <v>587</v>
      </c>
      <c r="M76" s="9" t="s">
        <v>588</v>
      </c>
      <c r="N76" s="9" t="s">
        <v>2137</v>
      </c>
      <c r="O76" s="43"/>
    </row>
    <row r="77" customFormat="false" ht="15" hidden="false" customHeight="false" outlineLevel="0" collapsed="false">
      <c r="A77" s="8" t="s">
        <v>2138</v>
      </c>
      <c r="B77" s="9" t="s">
        <v>555</v>
      </c>
      <c r="C77" s="9" t="s">
        <v>37</v>
      </c>
      <c r="D77" s="9" t="s">
        <v>1892</v>
      </c>
      <c r="E77" s="9" t="s">
        <v>2139</v>
      </c>
      <c r="F77" s="9" t="s">
        <v>1872</v>
      </c>
      <c r="G77" s="9" t="s">
        <v>2104</v>
      </c>
      <c r="H77" s="9" t="s">
        <v>2140</v>
      </c>
      <c r="I77" s="9" t="s">
        <v>2141</v>
      </c>
      <c r="J77" s="9" t="s">
        <v>2142</v>
      </c>
      <c r="K77" s="9" t="s">
        <v>2143</v>
      </c>
      <c r="L77" s="9" t="s">
        <v>587</v>
      </c>
      <c r="M77" s="9" t="s">
        <v>588</v>
      </c>
      <c r="N77" s="9"/>
      <c r="O77" s="43"/>
    </row>
    <row r="78" customFormat="false" ht="15" hidden="false" customHeight="false" outlineLevel="0" collapsed="false">
      <c r="A78" s="8" t="s">
        <v>2144</v>
      </c>
      <c r="B78" s="9" t="s">
        <v>2145</v>
      </c>
      <c r="C78" s="9" t="s">
        <v>37</v>
      </c>
      <c r="D78" s="9" t="s">
        <v>1892</v>
      </c>
      <c r="E78" s="9" t="s">
        <v>1691</v>
      </c>
      <c r="F78" s="9" t="s">
        <v>2146</v>
      </c>
      <c r="G78" s="9" t="s">
        <v>2104</v>
      </c>
      <c r="H78" s="9" t="s">
        <v>2147</v>
      </c>
      <c r="I78" s="9" t="s">
        <v>2148</v>
      </c>
      <c r="J78" s="9" t="s">
        <v>2149</v>
      </c>
      <c r="K78" s="9" t="s">
        <v>2150</v>
      </c>
      <c r="L78" s="9" t="s">
        <v>587</v>
      </c>
      <c r="M78" s="9" t="s">
        <v>588</v>
      </c>
      <c r="N78" s="9"/>
      <c r="O78" s="43"/>
    </row>
    <row r="79" customFormat="false" ht="15" hidden="false" customHeight="false" outlineLevel="0" collapsed="false">
      <c r="A79" s="8" t="s">
        <v>2151</v>
      </c>
      <c r="B79" s="9" t="s">
        <v>186</v>
      </c>
      <c r="C79" s="9" t="s">
        <v>37</v>
      </c>
      <c r="D79" s="9" t="s">
        <v>1892</v>
      </c>
      <c r="E79" s="9" t="s">
        <v>2152</v>
      </c>
      <c r="F79" s="9" t="s">
        <v>1872</v>
      </c>
      <c r="G79" s="9" t="s">
        <v>2153</v>
      </c>
      <c r="H79" s="9" t="s">
        <v>2154</v>
      </c>
      <c r="I79" s="9" t="s">
        <v>2155</v>
      </c>
      <c r="J79" s="9" t="s">
        <v>2156</v>
      </c>
      <c r="K79" s="9" t="s">
        <v>2157</v>
      </c>
      <c r="L79" s="9" t="s">
        <v>605</v>
      </c>
      <c r="M79" s="9" t="s">
        <v>588</v>
      </c>
      <c r="N79" s="9"/>
      <c r="O79" s="43"/>
    </row>
    <row r="80" customFormat="false" ht="15" hidden="false" customHeight="false" outlineLevel="0" collapsed="false">
      <c r="A80" s="8" t="s">
        <v>2158</v>
      </c>
      <c r="B80" s="9" t="s">
        <v>186</v>
      </c>
      <c r="C80" s="9" t="s">
        <v>37</v>
      </c>
      <c r="D80" s="9" t="s">
        <v>1892</v>
      </c>
      <c r="E80" s="9" t="s">
        <v>2159</v>
      </c>
      <c r="F80" s="9" t="s">
        <v>1872</v>
      </c>
      <c r="G80" s="9" t="s">
        <v>2104</v>
      </c>
      <c r="H80" s="9" t="s">
        <v>2160</v>
      </c>
      <c r="I80" s="9" t="s">
        <v>2161</v>
      </c>
      <c r="J80" s="9" t="s">
        <v>2162</v>
      </c>
      <c r="K80" s="9" t="s">
        <v>2163</v>
      </c>
      <c r="L80" s="9" t="s">
        <v>605</v>
      </c>
      <c r="M80" s="9" t="s">
        <v>588</v>
      </c>
      <c r="N80" s="9"/>
      <c r="O80" s="43"/>
    </row>
    <row r="81" customFormat="false" ht="15" hidden="false" customHeight="false" outlineLevel="0" collapsed="false">
      <c r="A81" s="8" t="s">
        <v>2164</v>
      </c>
      <c r="B81" s="9" t="s">
        <v>1151</v>
      </c>
      <c r="C81" s="9" t="s">
        <v>37</v>
      </c>
      <c r="D81" s="9" t="s">
        <v>1857</v>
      </c>
      <c r="E81" s="9" t="s">
        <v>1893</v>
      </c>
      <c r="F81" s="9" t="s">
        <v>1872</v>
      </c>
      <c r="G81" s="9" t="s">
        <v>1895</v>
      </c>
      <c r="H81" s="9" t="s">
        <v>2165</v>
      </c>
      <c r="I81" s="9" t="s">
        <v>2166</v>
      </c>
      <c r="J81" s="9" t="s">
        <v>1575</v>
      </c>
      <c r="K81" s="9" t="s">
        <v>37</v>
      </c>
      <c r="L81" s="9" t="s">
        <v>605</v>
      </c>
      <c r="M81" s="9" t="s">
        <v>588</v>
      </c>
      <c r="N81" s="9"/>
      <c r="O81" s="43"/>
    </row>
    <row r="82" customFormat="false" ht="15" hidden="false" customHeight="false" outlineLevel="0" collapsed="false">
      <c r="A82" s="8" t="s">
        <v>2167</v>
      </c>
      <c r="B82" s="9" t="s">
        <v>1151</v>
      </c>
      <c r="C82" s="9" t="s">
        <v>37</v>
      </c>
      <c r="D82" s="9" t="s">
        <v>1857</v>
      </c>
      <c r="E82" s="9" t="s">
        <v>1880</v>
      </c>
      <c r="F82" s="9" t="s">
        <v>1872</v>
      </c>
      <c r="G82" s="9" t="s">
        <v>2104</v>
      </c>
      <c r="H82" s="9" t="s">
        <v>190</v>
      </c>
      <c r="I82" s="9" t="s">
        <v>2168</v>
      </c>
      <c r="J82" s="9" t="s">
        <v>37</v>
      </c>
      <c r="K82" s="9" t="s">
        <v>37</v>
      </c>
      <c r="L82" s="9" t="s">
        <v>605</v>
      </c>
      <c r="M82" s="9" t="s">
        <v>588</v>
      </c>
      <c r="N82" s="9"/>
      <c r="O82" s="43"/>
    </row>
    <row r="83" customFormat="false" ht="15" hidden="false" customHeight="false" outlineLevel="0" collapsed="false">
      <c r="A83" s="8" t="s">
        <v>2169</v>
      </c>
      <c r="B83" s="9" t="s">
        <v>2116</v>
      </c>
      <c r="C83" s="9" t="s">
        <v>37</v>
      </c>
      <c r="D83" s="9" t="s">
        <v>1892</v>
      </c>
      <c r="E83" s="9" t="s">
        <v>2170</v>
      </c>
      <c r="F83" s="9" t="s">
        <v>1872</v>
      </c>
      <c r="G83" s="9" t="s">
        <v>2171</v>
      </c>
      <c r="H83" s="9" t="s">
        <v>2172</v>
      </c>
      <c r="I83" s="9" t="s">
        <v>2173</v>
      </c>
      <c r="J83" s="9" t="s">
        <v>37</v>
      </c>
      <c r="K83" s="9" t="s">
        <v>2174</v>
      </c>
      <c r="L83" s="9" t="s">
        <v>605</v>
      </c>
      <c r="M83" s="9" t="s">
        <v>588</v>
      </c>
      <c r="N83" s="9" t="s">
        <v>2175</v>
      </c>
      <c r="O83" s="43"/>
    </row>
    <row r="84" customFormat="false" ht="23.85" hidden="false" customHeight="false" outlineLevel="0" collapsed="false">
      <c r="A84" s="8" t="s">
        <v>342</v>
      </c>
      <c r="B84" s="9" t="s">
        <v>548</v>
      </c>
      <c r="C84" s="9" t="s">
        <v>37</v>
      </c>
      <c r="D84" s="9" t="s">
        <v>1892</v>
      </c>
      <c r="E84" s="9" t="s">
        <v>2176</v>
      </c>
      <c r="F84" s="9" t="s">
        <v>2005</v>
      </c>
      <c r="G84" s="9" t="s">
        <v>2177</v>
      </c>
      <c r="H84" s="9" t="s">
        <v>2178</v>
      </c>
      <c r="I84" s="9" t="s">
        <v>2179</v>
      </c>
      <c r="J84" s="9" t="s">
        <v>2180</v>
      </c>
      <c r="K84" s="9" t="s">
        <v>2181</v>
      </c>
      <c r="L84" s="9" t="s">
        <v>541</v>
      </c>
      <c r="M84" s="9" t="s">
        <v>588</v>
      </c>
      <c r="N84" s="9" t="s">
        <v>2182</v>
      </c>
      <c r="O84" s="43"/>
    </row>
    <row r="85" customFormat="false" ht="15" hidden="false" customHeight="false" outlineLevel="0" collapsed="false">
      <c r="A85" s="8" t="s">
        <v>2183</v>
      </c>
      <c r="B85" s="9" t="s">
        <v>555</v>
      </c>
      <c r="C85" s="9" t="s">
        <v>738</v>
      </c>
      <c r="D85" s="9" t="s">
        <v>1892</v>
      </c>
      <c r="E85" s="9" t="s">
        <v>2184</v>
      </c>
      <c r="F85" s="9" t="s">
        <v>2005</v>
      </c>
      <c r="G85" s="9" t="s">
        <v>1810</v>
      </c>
      <c r="H85" s="9" t="s">
        <v>2185</v>
      </c>
      <c r="I85" s="9" t="s">
        <v>2186</v>
      </c>
      <c r="J85" s="9" t="s">
        <v>2187</v>
      </c>
      <c r="K85" s="9" t="s">
        <v>2188</v>
      </c>
      <c r="L85" s="9" t="s">
        <v>587</v>
      </c>
      <c r="M85" s="9" t="s">
        <v>588</v>
      </c>
      <c r="N85" s="9"/>
      <c r="O85" s="43"/>
    </row>
    <row r="86" customFormat="false" ht="23.85" hidden="false" customHeight="false" outlineLevel="0" collapsed="false">
      <c r="A86" s="8" t="s">
        <v>2189</v>
      </c>
      <c r="B86" s="9" t="s">
        <v>548</v>
      </c>
      <c r="C86" s="9" t="s">
        <v>2190</v>
      </c>
      <c r="D86" s="9" t="s">
        <v>1892</v>
      </c>
      <c r="E86" s="9" t="s">
        <v>2191</v>
      </c>
      <c r="F86" s="9" t="s">
        <v>2005</v>
      </c>
      <c r="G86" s="9" t="s">
        <v>1810</v>
      </c>
      <c r="H86" s="9" t="s">
        <v>2192</v>
      </c>
      <c r="I86" s="9" t="s">
        <v>37</v>
      </c>
      <c r="J86" s="9" t="s">
        <v>2193</v>
      </c>
      <c r="K86" s="9" t="s">
        <v>2194</v>
      </c>
      <c r="L86" s="9" t="s">
        <v>587</v>
      </c>
      <c r="M86" s="9" t="s">
        <v>588</v>
      </c>
      <c r="N86" s="9" t="s">
        <v>2195</v>
      </c>
      <c r="O86" s="43"/>
    </row>
    <row r="87" customFormat="false" ht="15" hidden="false" customHeight="false" outlineLevel="0" collapsed="false">
      <c r="A87" s="8" t="s">
        <v>373</v>
      </c>
      <c r="B87" s="9" t="s">
        <v>2196</v>
      </c>
      <c r="C87" s="9" t="s">
        <v>530</v>
      </c>
      <c r="D87" s="9" t="s">
        <v>1892</v>
      </c>
      <c r="E87" s="9" t="s">
        <v>2197</v>
      </c>
      <c r="F87" s="9" t="s">
        <v>2005</v>
      </c>
      <c r="G87" s="9" t="s">
        <v>1810</v>
      </c>
      <c r="H87" s="9" t="s">
        <v>2198</v>
      </c>
      <c r="I87" s="9" t="s">
        <v>37</v>
      </c>
      <c r="J87" s="9" t="s">
        <v>2199</v>
      </c>
      <c r="K87" s="9" t="s">
        <v>2194</v>
      </c>
      <c r="L87" s="9" t="s">
        <v>587</v>
      </c>
      <c r="M87" s="9" t="s">
        <v>588</v>
      </c>
      <c r="N87" s="9" t="s">
        <v>735</v>
      </c>
      <c r="O87" s="43"/>
    </row>
    <row r="88" customFormat="false" ht="15" hidden="false" customHeight="false" outlineLevel="0" collapsed="false">
      <c r="A88" s="8" t="s">
        <v>2200</v>
      </c>
      <c r="B88" s="9" t="s">
        <v>2201</v>
      </c>
      <c r="C88" s="9" t="s">
        <v>530</v>
      </c>
      <c r="D88" s="9" t="s">
        <v>1892</v>
      </c>
      <c r="E88" s="9" t="s">
        <v>2191</v>
      </c>
      <c r="F88" s="9" t="s">
        <v>2005</v>
      </c>
      <c r="G88" s="9" t="s">
        <v>2132</v>
      </c>
      <c r="H88" s="9" t="s">
        <v>2202</v>
      </c>
      <c r="I88" s="9" t="s">
        <v>37</v>
      </c>
      <c r="J88" s="9" t="s">
        <v>2203</v>
      </c>
      <c r="K88" s="9" t="s">
        <v>2204</v>
      </c>
      <c r="L88" s="9" t="s">
        <v>587</v>
      </c>
      <c r="M88" s="9" t="s">
        <v>588</v>
      </c>
      <c r="N88" s="9"/>
      <c r="O88" s="43"/>
    </row>
    <row r="89" customFormat="false" ht="15" hidden="false" customHeight="false" outlineLevel="0" collapsed="false">
      <c r="A89" s="8" t="s">
        <v>2205</v>
      </c>
      <c r="B89" s="9" t="s">
        <v>548</v>
      </c>
      <c r="C89" s="9" t="s">
        <v>37</v>
      </c>
      <c r="D89" s="9" t="s">
        <v>1892</v>
      </c>
      <c r="E89" s="9" t="s">
        <v>2197</v>
      </c>
      <c r="F89" s="9" t="s">
        <v>2005</v>
      </c>
      <c r="G89" s="9" t="s">
        <v>2132</v>
      </c>
      <c r="H89" s="9" t="s">
        <v>2206</v>
      </c>
      <c r="I89" s="9" t="s">
        <v>37</v>
      </c>
      <c r="J89" s="9" t="s">
        <v>2207</v>
      </c>
      <c r="K89" s="9" t="s">
        <v>37</v>
      </c>
      <c r="L89" s="9" t="s">
        <v>605</v>
      </c>
      <c r="M89" s="9" t="s">
        <v>588</v>
      </c>
      <c r="N89" s="9"/>
      <c r="O89" s="43"/>
    </row>
    <row r="90" customFormat="false" ht="15" hidden="false" customHeight="false" outlineLevel="0" collapsed="false">
      <c r="A90" s="8" t="s">
        <v>2208</v>
      </c>
      <c r="B90" s="9" t="s">
        <v>2209</v>
      </c>
      <c r="C90" s="9" t="s">
        <v>530</v>
      </c>
      <c r="D90" s="9" t="s">
        <v>1892</v>
      </c>
      <c r="E90" s="9" t="s">
        <v>2210</v>
      </c>
      <c r="F90" s="9" t="s">
        <v>2005</v>
      </c>
      <c r="G90" s="9" t="s">
        <v>2132</v>
      </c>
      <c r="H90" s="9" t="s">
        <v>2211</v>
      </c>
      <c r="I90" s="9" t="s">
        <v>37</v>
      </c>
      <c r="J90" s="9" t="s">
        <v>2212</v>
      </c>
      <c r="K90" s="9" t="s">
        <v>37</v>
      </c>
      <c r="L90" s="9" t="s">
        <v>605</v>
      </c>
      <c r="M90" s="9" t="s">
        <v>588</v>
      </c>
      <c r="N90" s="9"/>
      <c r="O90" s="43"/>
    </row>
    <row r="91" customFormat="false" ht="15" hidden="false" customHeight="false" outlineLevel="0" collapsed="false">
      <c r="A91" s="8" t="s">
        <v>2213</v>
      </c>
      <c r="B91" s="9" t="s">
        <v>338</v>
      </c>
      <c r="C91" s="9" t="s">
        <v>556</v>
      </c>
      <c r="D91" s="9" t="s">
        <v>1857</v>
      </c>
      <c r="E91" s="9" t="s">
        <v>2214</v>
      </c>
      <c r="F91" s="9" t="s">
        <v>2005</v>
      </c>
      <c r="G91" s="9" t="s">
        <v>2132</v>
      </c>
      <c r="H91" s="9" t="s">
        <v>2215</v>
      </c>
      <c r="I91" s="9" t="s">
        <v>2216</v>
      </c>
      <c r="J91" s="9" t="s">
        <v>2217</v>
      </c>
      <c r="K91" s="9" t="s">
        <v>37</v>
      </c>
      <c r="L91" s="9" t="s">
        <v>605</v>
      </c>
      <c r="M91" s="9" t="s">
        <v>588</v>
      </c>
      <c r="N91" s="9"/>
      <c r="O91" s="43"/>
    </row>
    <row r="92" customFormat="false" ht="15" hidden="false" customHeight="false" outlineLevel="0" collapsed="false">
      <c r="A92" s="8" t="s">
        <v>2218</v>
      </c>
      <c r="B92" s="9" t="s">
        <v>562</v>
      </c>
      <c r="C92" s="9" t="s">
        <v>9</v>
      </c>
      <c r="D92" s="9" t="s">
        <v>933</v>
      </c>
      <c r="E92" s="9" t="s">
        <v>2219</v>
      </c>
      <c r="F92" s="9" t="s">
        <v>2005</v>
      </c>
      <c r="G92" s="9" t="s">
        <v>2220</v>
      </c>
      <c r="H92" s="9" t="s">
        <v>2221</v>
      </c>
      <c r="I92" s="9" t="s">
        <v>37</v>
      </c>
      <c r="J92" s="9" t="s">
        <v>2222</v>
      </c>
      <c r="K92" s="9" t="s">
        <v>37</v>
      </c>
      <c r="L92" s="9" t="s">
        <v>605</v>
      </c>
      <c r="M92" s="9" t="s">
        <v>588</v>
      </c>
      <c r="N92" s="9"/>
      <c r="O92" s="43"/>
    </row>
    <row r="93" customFormat="false" ht="23.85" hidden="false" customHeight="false" outlineLevel="0" collapsed="false">
      <c r="A93" s="8" t="s">
        <v>2223</v>
      </c>
      <c r="B93" s="9" t="s">
        <v>650</v>
      </c>
      <c r="C93" s="9" t="s">
        <v>37</v>
      </c>
      <c r="D93" s="9" t="s">
        <v>1857</v>
      </c>
      <c r="E93" s="9" t="s">
        <v>2224</v>
      </c>
      <c r="F93" s="9" t="s">
        <v>1872</v>
      </c>
      <c r="G93" s="9" t="s">
        <v>2225</v>
      </c>
      <c r="H93" s="9" t="s">
        <v>2226</v>
      </c>
      <c r="I93" s="9" t="s">
        <v>2227</v>
      </c>
      <c r="J93" s="9" t="s">
        <v>2228</v>
      </c>
      <c r="K93" s="9" t="s">
        <v>2229</v>
      </c>
      <c r="L93" s="9" t="s">
        <v>541</v>
      </c>
      <c r="M93" s="9" t="s">
        <v>588</v>
      </c>
      <c r="N93" s="9" t="s">
        <v>2230</v>
      </c>
      <c r="O93" s="43"/>
    </row>
    <row r="94" customFormat="false" ht="15" hidden="false" customHeight="false" outlineLevel="0" collapsed="false">
      <c r="A94" s="8" t="s">
        <v>2231</v>
      </c>
      <c r="B94" s="9" t="s">
        <v>650</v>
      </c>
      <c r="C94" s="9" t="s">
        <v>857</v>
      </c>
      <c r="D94" s="9" t="s">
        <v>1857</v>
      </c>
      <c r="E94" s="9" t="s">
        <v>2232</v>
      </c>
      <c r="F94" s="9" t="s">
        <v>1872</v>
      </c>
      <c r="G94" s="9" t="s">
        <v>1805</v>
      </c>
      <c r="H94" s="9" t="s">
        <v>2233</v>
      </c>
      <c r="I94" s="9" t="s">
        <v>2234</v>
      </c>
      <c r="J94" s="9" t="s">
        <v>2235</v>
      </c>
      <c r="K94" s="9" t="s">
        <v>2236</v>
      </c>
      <c r="L94" s="9" t="s">
        <v>587</v>
      </c>
      <c r="M94" s="9" t="s">
        <v>588</v>
      </c>
      <c r="N94" s="9"/>
      <c r="O94" s="43"/>
    </row>
    <row r="95" customFormat="false" ht="15" hidden="false" customHeight="false" outlineLevel="0" collapsed="false">
      <c r="A95" s="8" t="s">
        <v>2237</v>
      </c>
      <c r="B95" s="9" t="s">
        <v>650</v>
      </c>
      <c r="C95" s="9" t="s">
        <v>2238</v>
      </c>
      <c r="D95" s="9" t="s">
        <v>1857</v>
      </c>
      <c r="E95" s="9" t="s">
        <v>2239</v>
      </c>
      <c r="F95" s="9" t="s">
        <v>1872</v>
      </c>
      <c r="G95" s="9" t="s">
        <v>2240</v>
      </c>
      <c r="H95" s="9" t="s">
        <v>2241</v>
      </c>
      <c r="I95" s="9" t="s">
        <v>37</v>
      </c>
      <c r="J95" s="9" t="s">
        <v>2242</v>
      </c>
      <c r="K95" s="9" t="s">
        <v>2243</v>
      </c>
      <c r="L95" s="9" t="s">
        <v>587</v>
      </c>
      <c r="M95" s="9" t="s">
        <v>588</v>
      </c>
      <c r="N95" s="9" t="s">
        <v>2244</v>
      </c>
      <c r="O95" s="43"/>
    </row>
    <row r="96" customFormat="false" ht="15" hidden="false" customHeight="false" outlineLevel="0" collapsed="false">
      <c r="A96" s="8" t="s">
        <v>2245</v>
      </c>
      <c r="B96" s="9" t="s">
        <v>1910</v>
      </c>
      <c r="C96" s="9" t="s">
        <v>37</v>
      </c>
      <c r="D96" s="9" t="s">
        <v>1911</v>
      </c>
      <c r="E96" s="9" t="s">
        <v>1691</v>
      </c>
      <c r="F96" s="9" t="s">
        <v>2246</v>
      </c>
      <c r="G96" s="9" t="s">
        <v>1586</v>
      </c>
      <c r="H96" s="9" t="s">
        <v>2247</v>
      </c>
      <c r="I96" s="9" t="s">
        <v>2248</v>
      </c>
      <c r="J96" s="9" t="s">
        <v>2249</v>
      </c>
      <c r="K96" s="9" t="s">
        <v>2250</v>
      </c>
      <c r="L96" s="9" t="s">
        <v>605</v>
      </c>
      <c r="M96" s="9" t="s">
        <v>588</v>
      </c>
      <c r="N96" s="9" t="s">
        <v>2251</v>
      </c>
      <c r="O96" s="43"/>
    </row>
    <row r="97" customFormat="false" ht="15" hidden="false" customHeight="false" outlineLevel="0" collapsed="false">
      <c r="A97" s="8" t="s">
        <v>2252</v>
      </c>
      <c r="B97" s="9" t="s">
        <v>692</v>
      </c>
      <c r="C97" s="9" t="s">
        <v>37</v>
      </c>
      <c r="D97" s="9" t="s">
        <v>1911</v>
      </c>
      <c r="E97" s="9" t="s">
        <v>1691</v>
      </c>
      <c r="F97" s="9" t="s">
        <v>2253</v>
      </c>
      <c r="G97" s="9" t="s">
        <v>2088</v>
      </c>
      <c r="H97" s="9" t="s">
        <v>2254</v>
      </c>
      <c r="I97" s="9" t="s">
        <v>2255</v>
      </c>
      <c r="J97" s="9" t="s">
        <v>2256</v>
      </c>
      <c r="K97" s="9" t="s">
        <v>2257</v>
      </c>
      <c r="L97" s="9" t="s">
        <v>587</v>
      </c>
      <c r="M97" s="9" t="s">
        <v>588</v>
      </c>
      <c r="N97" s="9"/>
      <c r="O97" s="43"/>
    </row>
    <row r="98" customFormat="false" ht="15" hidden="false" customHeight="false" outlineLevel="0" collapsed="false">
      <c r="A98" s="8" t="s">
        <v>2258</v>
      </c>
      <c r="B98" s="9" t="s">
        <v>692</v>
      </c>
      <c r="C98" s="9" t="s">
        <v>37</v>
      </c>
      <c r="D98" s="9" t="s">
        <v>1911</v>
      </c>
      <c r="E98" s="9" t="s">
        <v>2259</v>
      </c>
      <c r="F98" s="9" t="s">
        <v>1872</v>
      </c>
      <c r="G98" s="9" t="s">
        <v>2153</v>
      </c>
      <c r="H98" s="9" t="s">
        <v>2260</v>
      </c>
      <c r="I98" s="9" t="s">
        <v>2261</v>
      </c>
      <c r="J98" s="9" t="s">
        <v>2262</v>
      </c>
      <c r="K98" s="9" t="s">
        <v>2263</v>
      </c>
      <c r="L98" s="9" t="s">
        <v>605</v>
      </c>
      <c r="M98" s="9" t="s">
        <v>588</v>
      </c>
      <c r="N98" s="9"/>
      <c r="O98" s="43"/>
    </row>
    <row r="99" customFormat="false" ht="23.85" hidden="false" customHeight="false" outlineLevel="0" collapsed="false">
      <c r="A99" s="8" t="s">
        <v>2264</v>
      </c>
      <c r="B99" s="9" t="s">
        <v>2265</v>
      </c>
      <c r="C99" s="9" t="s">
        <v>556</v>
      </c>
      <c r="D99" s="9" t="s">
        <v>1911</v>
      </c>
      <c r="E99" s="9" t="s">
        <v>2266</v>
      </c>
      <c r="F99" s="9" t="s">
        <v>1872</v>
      </c>
      <c r="G99" s="9" t="s">
        <v>1805</v>
      </c>
      <c r="H99" s="9" t="s">
        <v>2267</v>
      </c>
      <c r="I99" s="9" t="s">
        <v>2268</v>
      </c>
      <c r="J99" s="9" t="s">
        <v>2269</v>
      </c>
      <c r="K99" s="9" t="s">
        <v>2270</v>
      </c>
      <c r="L99" s="9" t="s">
        <v>587</v>
      </c>
      <c r="M99" s="9" t="s">
        <v>588</v>
      </c>
      <c r="N99" s="9"/>
      <c r="O99" s="43"/>
    </row>
    <row r="100" customFormat="false" ht="15" hidden="false" customHeight="false" outlineLevel="0" collapsed="false">
      <c r="A100" s="8" t="s">
        <v>2271</v>
      </c>
      <c r="B100" s="9" t="s">
        <v>2272</v>
      </c>
      <c r="C100" s="9" t="s">
        <v>37</v>
      </c>
      <c r="D100" s="9" t="s">
        <v>1911</v>
      </c>
      <c r="E100" s="9" t="s">
        <v>2273</v>
      </c>
      <c r="F100" s="9" t="s">
        <v>2274</v>
      </c>
      <c r="G100" s="9" t="s">
        <v>2275</v>
      </c>
      <c r="H100" s="9" t="s">
        <v>2276</v>
      </c>
      <c r="I100" s="9" t="s">
        <v>37</v>
      </c>
      <c r="J100" s="9" t="s">
        <v>2277</v>
      </c>
      <c r="K100" s="9" t="s">
        <v>37</v>
      </c>
      <c r="L100" s="9" t="s">
        <v>605</v>
      </c>
      <c r="M100" s="9" t="s">
        <v>588</v>
      </c>
      <c r="N100" s="9"/>
      <c r="O100" s="43"/>
    </row>
    <row r="101" customFormat="false" ht="23.85" hidden="false" customHeight="false" outlineLevel="0" collapsed="false">
      <c r="A101" s="8" t="s">
        <v>2278</v>
      </c>
      <c r="B101" s="9" t="s">
        <v>1042</v>
      </c>
      <c r="C101" s="9" t="s">
        <v>37</v>
      </c>
      <c r="D101" s="9" t="s">
        <v>1911</v>
      </c>
      <c r="E101" s="9" t="s">
        <v>2279</v>
      </c>
      <c r="F101" s="9" t="s">
        <v>1943</v>
      </c>
      <c r="G101" s="9" t="s">
        <v>2280</v>
      </c>
      <c r="H101" s="9" t="s">
        <v>2281</v>
      </c>
      <c r="I101" s="9" t="s">
        <v>2282</v>
      </c>
      <c r="J101" s="9" t="s">
        <v>37</v>
      </c>
      <c r="K101" s="9" t="s">
        <v>2283</v>
      </c>
      <c r="L101" s="9" t="s">
        <v>587</v>
      </c>
      <c r="M101" s="9" t="s">
        <v>588</v>
      </c>
      <c r="N101" s="9" t="s">
        <v>2284</v>
      </c>
      <c r="O101" s="43"/>
    </row>
    <row r="102" customFormat="false" ht="23.85" hidden="false" customHeight="false" outlineLevel="0" collapsed="false">
      <c r="A102" s="8" t="s">
        <v>2285</v>
      </c>
      <c r="B102" s="9" t="s">
        <v>2286</v>
      </c>
      <c r="C102" s="9" t="s">
        <v>37</v>
      </c>
      <c r="D102" s="9" t="s">
        <v>1911</v>
      </c>
      <c r="E102" s="9" t="s">
        <v>2287</v>
      </c>
      <c r="F102" s="9" t="s">
        <v>1872</v>
      </c>
      <c r="G102" s="9" t="s">
        <v>2104</v>
      </c>
      <c r="H102" s="9" t="s">
        <v>2288</v>
      </c>
      <c r="I102" s="9" t="s">
        <v>2289</v>
      </c>
      <c r="J102" s="9" t="s">
        <v>37</v>
      </c>
      <c r="K102" s="9" t="s">
        <v>37</v>
      </c>
      <c r="L102" s="9" t="s">
        <v>605</v>
      </c>
      <c r="M102" s="9" t="s">
        <v>588</v>
      </c>
      <c r="N102" s="9"/>
      <c r="O102" s="43"/>
    </row>
    <row r="103" customFormat="false" ht="15" hidden="false" customHeight="false" outlineLevel="0" collapsed="false">
      <c r="A103" s="8" t="s">
        <v>2290</v>
      </c>
      <c r="B103" s="9" t="s">
        <v>2291</v>
      </c>
      <c r="C103" s="9" t="s">
        <v>37</v>
      </c>
      <c r="D103" s="9" t="s">
        <v>1911</v>
      </c>
      <c r="E103" s="9" t="s">
        <v>1880</v>
      </c>
      <c r="F103" s="9" t="s">
        <v>1872</v>
      </c>
      <c r="G103" s="9" t="s">
        <v>2104</v>
      </c>
      <c r="H103" s="9" t="s">
        <v>190</v>
      </c>
      <c r="I103" s="9" t="s">
        <v>37</v>
      </c>
      <c r="J103" s="9" t="s">
        <v>37</v>
      </c>
      <c r="K103" s="9" t="s">
        <v>37</v>
      </c>
      <c r="L103" s="9" t="s">
        <v>605</v>
      </c>
      <c r="M103" s="9" t="s">
        <v>588</v>
      </c>
      <c r="N103" s="9"/>
      <c r="O103" s="43"/>
    </row>
    <row r="104" customFormat="false" ht="15" hidden="false" customHeight="false" outlineLevel="0" collapsed="false">
      <c r="A104" s="8" t="s">
        <v>2292</v>
      </c>
      <c r="B104" s="9" t="s">
        <v>2293</v>
      </c>
      <c r="C104" s="9" t="s">
        <v>37</v>
      </c>
      <c r="D104" s="9" t="s">
        <v>1911</v>
      </c>
      <c r="E104" s="9" t="s">
        <v>1691</v>
      </c>
      <c r="F104" s="9" t="s">
        <v>2294</v>
      </c>
      <c r="G104" s="9" t="s">
        <v>1586</v>
      </c>
      <c r="H104" s="9" t="s">
        <v>2295</v>
      </c>
      <c r="I104" s="9" t="s">
        <v>37</v>
      </c>
      <c r="J104" s="9" t="s">
        <v>2296</v>
      </c>
      <c r="K104" s="9" t="s">
        <v>2297</v>
      </c>
      <c r="L104" s="9" t="s">
        <v>587</v>
      </c>
      <c r="M104" s="9" t="s">
        <v>588</v>
      </c>
      <c r="N104" s="9"/>
      <c r="O104" s="43"/>
    </row>
    <row r="105" customFormat="false" ht="15" hidden="false" customHeight="false" outlineLevel="0" collapsed="false">
      <c r="A105" s="8" t="s">
        <v>2298</v>
      </c>
      <c r="B105" s="9" t="s">
        <v>2299</v>
      </c>
      <c r="C105" s="9" t="s">
        <v>37</v>
      </c>
      <c r="D105" s="9" t="s">
        <v>1911</v>
      </c>
      <c r="E105" s="9" t="s">
        <v>1691</v>
      </c>
      <c r="F105" s="9" t="s">
        <v>1872</v>
      </c>
      <c r="G105" s="9" t="s">
        <v>2300</v>
      </c>
      <c r="H105" s="9" t="s">
        <v>2066</v>
      </c>
      <c r="I105" s="9" t="s">
        <v>2301</v>
      </c>
      <c r="J105" s="9" t="s">
        <v>37</v>
      </c>
      <c r="K105" s="9" t="s">
        <v>37</v>
      </c>
      <c r="L105" s="9" t="s">
        <v>605</v>
      </c>
      <c r="M105" s="9" t="s">
        <v>588</v>
      </c>
      <c r="N105" s="9"/>
      <c r="O105" s="43"/>
    </row>
    <row r="106" customFormat="false" ht="15" hidden="false" customHeight="false" outlineLevel="0" collapsed="false">
      <c r="A106" s="8" t="s">
        <v>2302</v>
      </c>
      <c r="B106" s="9" t="s">
        <v>2303</v>
      </c>
      <c r="C106" s="9" t="s">
        <v>37</v>
      </c>
      <c r="D106" s="9" t="s">
        <v>1911</v>
      </c>
      <c r="E106" s="9" t="s">
        <v>1880</v>
      </c>
      <c r="F106" s="9" t="s">
        <v>1872</v>
      </c>
      <c r="G106" s="9" t="s">
        <v>2304</v>
      </c>
      <c r="H106" s="9" t="s">
        <v>190</v>
      </c>
      <c r="I106" s="9" t="s">
        <v>37</v>
      </c>
      <c r="J106" s="9" t="s">
        <v>37</v>
      </c>
      <c r="K106" s="9" t="s">
        <v>37</v>
      </c>
      <c r="L106" s="9" t="s">
        <v>605</v>
      </c>
      <c r="M106" s="9" t="s">
        <v>588</v>
      </c>
      <c r="N106" s="9"/>
      <c r="O106" s="43"/>
    </row>
    <row r="107" customFormat="false" ht="15" hidden="false" customHeight="false" outlineLevel="0" collapsed="false">
      <c r="A107" s="8" t="s">
        <v>2305</v>
      </c>
      <c r="B107" s="9" t="s">
        <v>1910</v>
      </c>
      <c r="C107" s="9" t="s">
        <v>37</v>
      </c>
      <c r="D107" s="9" t="s">
        <v>1911</v>
      </c>
      <c r="E107" s="9" t="s">
        <v>1996</v>
      </c>
      <c r="F107" s="9" t="s">
        <v>1872</v>
      </c>
      <c r="G107" s="9" t="s">
        <v>2104</v>
      </c>
      <c r="H107" s="9" t="s">
        <v>2306</v>
      </c>
      <c r="I107" s="9" t="s">
        <v>2307</v>
      </c>
      <c r="J107" s="9" t="s">
        <v>2308</v>
      </c>
      <c r="K107" s="9" t="s">
        <v>37</v>
      </c>
      <c r="L107" s="9" t="s">
        <v>605</v>
      </c>
      <c r="M107" s="9" t="s">
        <v>588</v>
      </c>
      <c r="N107" s="9"/>
      <c r="O107" s="43"/>
    </row>
    <row r="108" customFormat="false" ht="15" hidden="false" customHeight="false" outlineLevel="0" collapsed="false">
      <c r="A108" s="8" t="s">
        <v>2309</v>
      </c>
      <c r="B108" s="9" t="s">
        <v>635</v>
      </c>
      <c r="C108" s="9" t="s">
        <v>37</v>
      </c>
      <c r="D108" s="9" t="s">
        <v>2310</v>
      </c>
      <c r="E108" s="9" t="s">
        <v>1691</v>
      </c>
      <c r="F108" s="9" t="s">
        <v>2311</v>
      </c>
      <c r="G108" s="9" t="s">
        <v>2312</v>
      </c>
      <c r="H108" s="9" t="s">
        <v>2313</v>
      </c>
      <c r="I108" s="9" t="s">
        <v>2314</v>
      </c>
      <c r="J108" s="9" t="s">
        <v>2315</v>
      </c>
      <c r="K108" s="9" t="s">
        <v>2316</v>
      </c>
      <c r="L108" s="9" t="s">
        <v>605</v>
      </c>
      <c r="M108" s="9" t="s">
        <v>588</v>
      </c>
      <c r="N108" s="9"/>
      <c r="O108" s="43"/>
    </row>
    <row r="109" customFormat="false" ht="15" hidden="false" customHeight="false" outlineLevel="0" collapsed="false">
      <c r="A109" s="8" t="s">
        <v>2317</v>
      </c>
      <c r="B109" s="9" t="s">
        <v>2318</v>
      </c>
      <c r="C109" s="9" t="s">
        <v>522</v>
      </c>
      <c r="D109" s="9" t="s">
        <v>2310</v>
      </c>
      <c r="E109" s="9" t="s">
        <v>2319</v>
      </c>
      <c r="F109" s="9" t="s">
        <v>2320</v>
      </c>
      <c r="G109" s="9" t="s">
        <v>1573</v>
      </c>
      <c r="H109" s="9" t="s">
        <v>2321</v>
      </c>
      <c r="I109" s="9" t="s">
        <v>2322</v>
      </c>
      <c r="J109" s="9" t="s">
        <v>2323</v>
      </c>
      <c r="K109" s="9" t="s">
        <v>2324</v>
      </c>
      <c r="L109" s="9" t="s">
        <v>605</v>
      </c>
      <c r="M109" s="9" t="s">
        <v>588</v>
      </c>
      <c r="N109" s="9"/>
      <c r="O109" s="43"/>
    </row>
    <row r="110" customFormat="false" ht="15" hidden="false" customHeight="false" outlineLevel="0" collapsed="false">
      <c r="A110" s="8" t="s">
        <v>2325</v>
      </c>
      <c r="B110" s="9" t="s">
        <v>2318</v>
      </c>
      <c r="C110" s="9" t="s">
        <v>37</v>
      </c>
      <c r="D110" s="9" t="s">
        <v>2310</v>
      </c>
      <c r="E110" s="9" t="s">
        <v>2326</v>
      </c>
      <c r="F110" s="9" t="s">
        <v>2327</v>
      </c>
      <c r="G110" s="9" t="s">
        <v>1823</v>
      </c>
      <c r="H110" s="9" t="s">
        <v>2328</v>
      </c>
      <c r="I110" s="9" t="s">
        <v>2329</v>
      </c>
      <c r="J110" s="9" t="s">
        <v>2330</v>
      </c>
      <c r="K110" s="9" t="s">
        <v>2331</v>
      </c>
      <c r="L110" s="9" t="s">
        <v>605</v>
      </c>
      <c r="M110" s="9" t="s">
        <v>588</v>
      </c>
      <c r="N110" s="9"/>
      <c r="O110" s="43"/>
    </row>
    <row r="111" customFormat="false" ht="23.85" hidden="false" customHeight="false" outlineLevel="0" collapsed="false">
      <c r="A111" s="8" t="s">
        <v>2332</v>
      </c>
      <c r="B111" s="9" t="s">
        <v>583</v>
      </c>
      <c r="C111" s="9" t="s">
        <v>37</v>
      </c>
      <c r="D111" s="9" t="s">
        <v>2310</v>
      </c>
      <c r="E111" s="9" t="s">
        <v>2333</v>
      </c>
      <c r="F111" s="9" t="s">
        <v>1872</v>
      </c>
      <c r="G111" s="9" t="s">
        <v>2334</v>
      </c>
      <c r="H111" s="9" t="s">
        <v>2335</v>
      </c>
      <c r="I111" s="9" t="s">
        <v>2336</v>
      </c>
      <c r="J111" s="9" t="s">
        <v>2337</v>
      </c>
      <c r="K111" s="9" t="s">
        <v>2338</v>
      </c>
      <c r="L111" s="9" t="s">
        <v>587</v>
      </c>
      <c r="M111" s="9" t="s">
        <v>588</v>
      </c>
      <c r="N111" s="9" t="s">
        <v>2339</v>
      </c>
      <c r="O111" s="43"/>
    </row>
    <row r="112" customFormat="false" ht="15" hidden="false" customHeight="false" outlineLevel="0" collapsed="false">
      <c r="A112" s="8" t="s">
        <v>2340</v>
      </c>
      <c r="B112" s="9" t="s">
        <v>583</v>
      </c>
      <c r="C112" s="9" t="s">
        <v>37</v>
      </c>
      <c r="D112" s="9" t="s">
        <v>2310</v>
      </c>
      <c r="E112" s="9" t="s">
        <v>1691</v>
      </c>
      <c r="F112" s="9" t="s">
        <v>1872</v>
      </c>
      <c r="G112" s="9" t="s">
        <v>2300</v>
      </c>
      <c r="H112" s="9" t="s">
        <v>2341</v>
      </c>
      <c r="I112" s="9" t="s">
        <v>37</v>
      </c>
      <c r="J112" s="9" t="s">
        <v>2342</v>
      </c>
      <c r="K112" s="9" t="s">
        <v>2343</v>
      </c>
      <c r="L112" s="9" t="s">
        <v>605</v>
      </c>
      <c r="M112" s="9" t="s">
        <v>588</v>
      </c>
      <c r="N112" s="9" t="s">
        <v>2344</v>
      </c>
      <c r="O112" s="43"/>
    </row>
    <row r="113" customFormat="false" ht="15" hidden="false" customHeight="false" outlineLevel="0" collapsed="false">
      <c r="A113" s="8" t="s">
        <v>2345</v>
      </c>
      <c r="B113" s="9" t="s">
        <v>2346</v>
      </c>
      <c r="C113" s="9" t="s">
        <v>37</v>
      </c>
      <c r="D113" s="9" t="s">
        <v>2310</v>
      </c>
      <c r="E113" s="9" t="s">
        <v>1691</v>
      </c>
      <c r="F113" s="9" t="s">
        <v>1872</v>
      </c>
      <c r="G113" s="9" t="s">
        <v>2347</v>
      </c>
      <c r="H113" s="9" t="s">
        <v>2348</v>
      </c>
      <c r="I113" s="9" t="s">
        <v>2349</v>
      </c>
      <c r="J113" s="9" t="s">
        <v>2350</v>
      </c>
      <c r="K113" s="9" t="s">
        <v>37</v>
      </c>
      <c r="L113" s="9" t="s">
        <v>605</v>
      </c>
      <c r="M113" s="9" t="s">
        <v>588</v>
      </c>
      <c r="N113" s="9"/>
      <c r="O113" s="43"/>
    </row>
    <row r="114" customFormat="false" ht="15" hidden="false" customHeight="false" outlineLevel="0" collapsed="false">
      <c r="A114" s="8" t="s">
        <v>2351</v>
      </c>
      <c r="B114" s="9" t="s">
        <v>2352</v>
      </c>
      <c r="C114" s="9" t="s">
        <v>37</v>
      </c>
      <c r="D114" s="9" t="s">
        <v>2310</v>
      </c>
      <c r="E114" s="9" t="s">
        <v>1691</v>
      </c>
      <c r="F114" s="9" t="s">
        <v>1872</v>
      </c>
      <c r="G114" s="9" t="s">
        <v>2104</v>
      </c>
      <c r="H114" s="9" t="s">
        <v>2353</v>
      </c>
      <c r="I114" s="9" t="s">
        <v>37</v>
      </c>
      <c r="J114" s="9" t="s">
        <v>37</v>
      </c>
      <c r="K114" s="9" t="s">
        <v>37</v>
      </c>
      <c r="L114" s="9" t="s">
        <v>605</v>
      </c>
      <c r="M114" s="9" t="s">
        <v>588</v>
      </c>
      <c r="N114" s="9"/>
      <c r="O114" s="43"/>
    </row>
    <row r="115" customFormat="false" ht="15" hidden="false" customHeight="false" outlineLevel="0" collapsed="false">
      <c r="A115" s="8" t="s">
        <v>2354</v>
      </c>
      <c r="B115" s="9" t="s">
        <v>2355</v>
      </c>
      <c r="C115" s="9" t="s">
        <v>37</v>
      </c>
      <c r="D115" s="9" t="s">
        <v>2310</v>
      </c>
      <c r="E115" s="9" t="s">
        <v>2356</v>
      </c>
      <c r="F115" s="9" t="s">
        <v>1872</v>
      </c>
      <c r="G115" s="9" t="s">
        <v>1823</v>
      </c>
      <c r="H115" s="9" t="s">
        <v>2357</v>
      </c>
      <c r="I115" s="9" t="s">
        <v>2358</v>
      </c>
      <c r="J115" s="9" t="s">
        <v>2359</v>
      </c>
      <c r="K115" s="9" t="s">
        <v>37</v>
      </c>
      <c r="L115" s="9" t="s">
        <v>605</v>
      </c>
      <c r="M115" s="9" t="s">
        <v>588</v>
      </c>
      <c r="N115" s="9"/>
      <c r="O115" s="43"/>
    </row>
    <row r="116" customFormat="false" ht="15" hidden="false" customHeight="false" outlineLevel="0" collapsed="false">
      <c r="A116" s="8" t="s">
        <v>2360</v>
      </c>
      <c r="B116" s="9" t="s">
        <v>2361</v>
      </c>
      <c r="C116" s="9" t="s">
        <v>556</v>
      </c>
      <c r="D116" s="9" t="s">
        <v>2310</v>
      </c>
      <c r="E116" s="9" t="s">
        <v>1691</v>
      </c>
      <c r="F116" s="9" t="s">
        <v>1872</v>
      </c>
      <c r="G116" s="9" t="s">
        <v>2104</v>
      </c>
      <c r="H116" s="9" t="s">
        <v>2362</v>
      </c>
      <c r="I116" s="9" t="s">
        <v>37</v>
      </c>
      <c r="J116" s="9" t="s">
        <v>2363</v>
      </c>
      <c r="K116" s="9" t="s">
        <v>37</v>
      </c>
      <c r="L116" s="9" t="s">
        <v>605</v>
      </c>
      <c r="M116" s="9" t="s">
        <v>588</v>
      </c>
      <c r="N116" s="9"/>
      <c r="O116" s="43"/>
    </row>
    <row r="117" customFormat="false" ht="15" hidden="false" customHeight="false" outlineLevel="0" collapsed="false">
      <c r="A117" s="8" t="s">
        <v>2364</v>
      </c>
      <c r="B117" s="9" t="s">
        <v>2365</v>
      </c>
      <c r="C117" s="9" t="s">
        <v>37</v>
      </c>
      <c r="D117" s="9" t="s">
        <v>2310</v>
      </c>
      <c r="E117" s="9" t="s">
        <v>2366</v>
      </c>
      <c r="F117" s="9" t="s">
        <v>1872</v>
      </c>
      <c r="G117" s="9" t="s">
        <v>1823</v>
      </c>
      <c r="H117" s="9" t="s">
        <v>2367</v>
      </c>
      <c r="I117" s="9" t="s">
        <v>37</v>
      </c>
      <c r="J117" s="9" t="s">
        <v>37</v>
      </c>
      <c r="K117" s="9" t="s">
        <v>37</v>
      </c>
      <c r="L117" s="9" t="s">
        <v>605</v>
      </c>
      <c r="M117" s="9" t="s">
        <v>588</v>
      </c>
      <c r="N117" s="9"/>
      <c r="O117" s="43"/>
    </row>
    <row r="118" customFormat="false" ht="15" hidden="false" customHeight="false" outlineLevel="0" collapsed="false">
      <c r="A118" s="8" t="s">
        <v>2368</v>
      </c>
      <c r="B118" s="9" t="s">
        <v>2369</v>
      </c>
      <c r="C118" s="9" t="s">
        <v>37</v>
      </c>
      <c r="D118" s="9" t="s">
        <v>2310</v>
      </c>
      <c r="E118" s="9" t="s">
        <v>306</v>
      </c>
      <c r="F118" s="9" t="s">
        <v>1872</v>
      </c>
      <c r="G118" s="9" t="s">
        <v>1823</v>
      </c>
      <c r="H118" s="9" t="s">
        <v>2367</v>
      </c>
      <c r="I118" s="9" t="s">
        <v>37</v>
      </c>
      <c r="J118" s="9" t="s">
        <v>1575</v>
      </c>
      <c r="K118" s="9" t="s">
        <v>37</v>
      </c>
      <c r="L118" s="9" t="s">
        <v>605</v>
      </c>
      <c r="M118" s="9" t="s">
        <v>588</v>
      </c>
      <c r="N118" s="9"/>
      <c r="O118" s="43"/>
    </row>
    <row r="119" customFormat="false" ht="15" hidden="false" customHeight="false" outlineLevel="0" collapsed="false">
      <c r="A119" s="8" t="s">
        <v>2370</v>
      </c>
      <c r="B119" s="9" t="s">
        <v>2371</v>
      </c>
      <c r="C119" s="9" t="s">
        <v>37</v>
      </c>
      <c r="D119" s="9" t="s">
        <v>2310</v>
      </c>
      <c r="E119" s="9" t="s">
        <v>2372</v>
      </c>
      <c r="F119" s="9" t="s">
        <v>2373</v>
      </c>
      <c r="G119" s="9" t="s">
        <v>2374</v>
      </c>
      <c r="H119" s="9" t="s">
        <v>2375</v>
      </c>
      <c r="I119" s="9" t="s">
        <v>2376</v>
      </c>
      <c r="J119" s="9" t="s">
        <v>2377</v>
      </c>
      <c r="K119" s="9" t="s">
        <v>2378</v>
      </c>
      <c r="L119" s="9" t="s">
        <v>605</v>
      </c>
      <c r="M119" s="9" t="s">
        <v>588</v>
      </c>
      <c r="N119" s="9" t="s">
        <v>2379</v>
      </c>
      <c r="O119" s="43"/>
    </row>
    <row r="120" customFormat="false" ht="23.85" hidden="false" customHeight="false" outlineLevel="0" collapsed="false">
      <c r="A120" s="8" t="s">
        <v>2380</v>
      </c>
      <c r="B120" s="9" t="s">
        <v>639</v>
      </c>
      <c r="C120" s="9" t="s">
        <v>37</v>
      </c>
      <c r="D120" s="9" t="s">
        <v>2310</v>
      </c>
      <c r="E120" s="9" t="s">
        <v>2381</v>
      </c>
      <c r="F120" s="9" t="s">
        <v>2382</v>
      </c>
      <c r="G120" s="9" t="s">
        <v>1805</v>
      </c>
      <c r="H120" s="9" t="s">
        <v>2383</v>
      </c>
      <c r="I120" s="9" t="s">
        <v>37</v>
      </c>
      <c r="J120" s="9" t="s">
        <v>2384</v>
      </c>
      <c r="K120" s="9" t="s">
        <v>2385</v>
      </c>
      <c r="L120" s="9" t="s">
        <v>605</v>
      </c>
      <c r="M120" s="9" t="s">
        <v>588</v>
      </c>
      <c r="N120" s="9"/>
      <c r="O120" s="43"/>
    </row>
    <row r="121" customFormat="false" ht="15" hidden="false" customHeight="false" outlineLevel="0" collapsed="false">
      <c r="A121" s="8" t="s">
        <v>2386</v>
      </c>
      <c r="B121" s="9" t="s">
        <v>2387</v>
      </c>
      <c r="C121" s="9" t="s">
        <v>37</v>
      </c>
      <c r="D121" s="9" t="s">
        <v>2310</v>
      </c>
      <c r="E121" s="9" t="s">
        <v>1880</v>
      </c>
      <c r="F121" s="9" t="s">
        <v>1872</v>
      </c>
      <c r="G121" s="9" t="s">
        <v>2104</v>
      </c>
      <c r="H121" s="9" t="s">
        <v>2388</v>
      </c>
      <c r="I121" s="9" t="s">
        <v>2389</v>
      </c>
      <c r="J121" s="9" t="s">
        <v>2390</v>
      </c>
      <c r="K121" s="9" t="s">
        <v>37</v>
      </c>
      <c r="L121" s="9" t="s">
        <v>605</v>
      </c>
      <c r="M121" s="9" t="s">
        <v>588</v>
      </c>
      <c r="N121" s="9"/>
      <c r="O121" s="43"/>
    </row>
    <row r="122" customFormat="false" ht="15" hidden="false" customHeight="false" outlineLevel="0" collapsed="false">
      <c r="A122" s="8" t="s">
        <v>2391</v>
      </c>
      <c r="B122" s="9" t="s">
        <v>2392</v>
      </c>
      <c r="C122" s="9" t="s">
        <v>37</v>
      </c>
      <c r="D122" s="9" t="s">
        <v>2310</v>
      </c>
      <c r="E122" s="9" t="s">
        <v>1691</v>
      </c>
      <c r="F122" s="9" t="s">
        <v>1872</v>
      </c>
      <c r="G122" s="9" t="s">
        <v>2104</v>
      </c>
      <c r="H122" s="9" t="s">
        <v>2393</v>
      </c>
      <c r="I122" s="9" t="s">
        <v>37</v>
      </c>
      <c r="J122" s="9" t="s">
        <v>37</v>
      </c>
      <c r="K122" s="9" t="s">
        <v>37</v>
      </c>
      <c r="L122" s="9" t="s">
        <v>605</v>
      </c>
      <c r="M122" s="9" t="s">
        <v>588</v>
      </c>
      <c r="N122" s="9"/>
      <c r="O122" s="43"/>
    </row>
    <row r="123" customFormat="false" ht="15" hidden="false" customHeight="false" outlineLevel="0" collapsed="false">
      <c r="A123" s="8" t="s">
        <v>2394</v>
      </c>
      <c r="B123" s="9" t="s">
        <v>583</v>
      </c>
      <c r="C123" s="9" t="s">
        <v>37</v>
      </c>
      <c r="D123" s="9" t="s">
        <v>2310</v>
      </c>
      <c r="E123" s="9" t="s">
        <v>2395</v>
      </c>
      <c r="F123" s="9" t="s">
        <v>1872</v>
      </c>
      <c r="G123" s="9" t="s">
        <v>2104</v>
      </c>
      <c r="H123" s="9" t="s">
        <v>2353</v>
      </c>
      <c r="I123" s="9" t="s">
        <v>37</v>
      </c>
      <c r="J123" s="9" t="s">
        <v>37</v>
      </c>
      <c r="K123" s="9" t="s">
        <v>2396</v>
      </c>
      <c r="L123" s="9" t="s">
        <v>605</v>
      </c>
      <c r="M123" s="9" t="s">
        <v>588</v>
      </c>
      <c r="N123" s="9"/>
      <c r="O123" s="43"/>
    </row>
    <row r="124" customFormat="false" ht="23.85" hidden="false" customHeight="false" outlineLevel="0" collapsed="false">
      <c r="A124" s="8" t="s">
        <v>2397</v>
      </c>
      <c r="B124" s="9" t="s">
        <v>2398</v>
      </c>
      <c r="C124" s="9" t="s">
        <v>37</v>
      </c>
      <c r="D124" s="9" t="s">
        <v>2399</v>
      </c>
      <c r="E124" s="9" t="s">
        <v>2400</v>
      </c>
      <c r="F124" s="9" t="s">
        <v>1872</v>
      </c>
      <c r="G124" s="9" t="s">
        <v>2401</v>
      </c>
      <c r="H124" s="9" t="s">
        <v>2402</v>
      </c>
      <c r="I124" s="9" t="s">
        <v>37</v>
      </c>
      <c r="J124" s="9" t="s">
        <v>2403</v>
      </c>
      <c r="K124" s="9" t="s">
        <v>2404</v>
      </c>
      <c r="L124" s="9" t="s">
        <v>605</v>
      </c>
      <c r="M124" s="9" t="s">
        <v>588</v>
      </c>
      <c r="N124" s="9" t="s">
        <v>2405</v>
      </c>
      <c r="O124" s="43"/>
    </row>
    <row r="125" customFormat="false" ht="15" hidden="false" customHeight="false" outlineLevel="0" collapsed="false">
      <c r="A125" s="8" t="s">
        <v>2406</v>
      </c>
      <c r="B125" s="9" t="s">
        <v>2407</v>
      </c>
      <c r="C125" s="9" t="s">
        <v>37</v>
      </c>
      <c r="D125" s="9" t="s">
        <v>2399</v>
      </c>
      <c r="E125" s="9" t="s">
        <v>1691</v>
      </c>
      <c r="F125" s="9" t="s">
        <v>1872</v>
      </c>
      <c r="G125" s="9" t="s">
        <v>2104</v>
      </c>
      <c r="H125" s="9" t="s">
        <v>1409</v>
      </c>
      <c r="I125" s="9" t="s">
        <v>37</v>
      </c>
      <c r="J125" s="9" t="s">
        <v>37</v>
      </c>
      <c r="K125" s="9" t="s">
        <v>37</v>
      </c>
      <c r="L125" s="9" t="s">
        <v>605</v>
      </c>
      <c r="M125" s="9" t="s">
        <v>588</v>
      </c>
      <c r="N125" s="9"/>
      <c r="O125" s="43"/>
    </row>
    <row r="126" customFormat="false" ht="15" hidden="false" customHeight="false" outlineLevel="0" collapsed="false">
      <c r="A126" s="8" t="s">
        <v>2408</v>
      </c>
      <c r="B126" s="9" t="s">
        <v>2409</v>
      </c>
      <c r="C126" s="9" t="s">
        <v>37</v>
      </c>
      <c r="D126" s="9" t="s">
        <v>2410</v>
      </c>
      <c r="E126" s="9" t="s">
        <v>1893</v>
      </c>
      <c r="F126" s="9" t="s">
        <v>1872</v>
      </c>
      <c r="G126" s="9" t="s">
        <v>1895</v>
      </c>
      <c r="H126" s="9" t="s">
        <v>1575</v>
      </c>
      <c r="I126" s="9" t="s">
        <v>37</v>
      </c>
      <c r="J126" s="9" t="s">
        <v>37</v>
      </c>
      <c r="K126" s="9" t="s">
        <v>37</v>
      </c>
      <c r="L126" s="9" t="s">
        <v>605</v>
      </c>
      <c r="M126" s="9" t="s">
        <v>588</v>
      </c>
      <c r="N126" s="9"/>
      <c r="O126" s="43"/>
    </row>
    <row r="127" customFormat="false" ht="23.85" hidden="false" customHeight="false" outlineLevel="0" collapsed="false">
      <c r="A127" s="8" t="s">
        <v>2411</v>
      </c>
      <c r="B127" s="9" t="s">
        <v>175</v>
      </c>
      <c r="C127" s="9" t="s">
        <v>37</v>
      </c>
      <c r="D127" s="9" t="s">
        <v>2371</v>
      </c>
      <c r="E127" s="9" t="s">
        <v>2412</v>
      </c>
      <c r="F127" s="9" t="s">
        <v>2413</v>
      </c>
      <c r="G127" s="9" t="s">
        <v>2414</v>
      </c>
      <c r="H127" s="9" t="s">
        <v>2415</v>
      </c>
      <c r="I127" s="9" t="s">
        <v>2416</v>
      </c>
      <c r="J127" s="9" t="s">
        <v>2417</v>
      </c>
      <c r="K127" s="9" t="s">
        <v>2418</v>
      </c>
      <c r="L127" s="9" t="s">
        <v>605</v>
      </c>
      <c r="M127" s="9" t="s">
        <v>588</v>
      </c>
      <c r="N127" s="9" t="s">
        <v>2419</v>
      </c>
      <c r="O127" s="43"/>
    </row>
    <row r="128" customFormat="false" ht="23.85" hidden="false" customHeight="false" outlineLevel="0" collapsed="false">
      <c r="A128" s="8" t="s">
        <v>2420</v>
      </c>
      <c r="B128" s="9" t="s">
        <v>555</v>
      </c>
      <c r="C128" s="9" t="s">
        <v>2421</v>
      </c>
      <c r="D128" s="9" t="s">
        <v>1892</v>
      </c>
      <c r="E128" s="9" t="s">
        <v>2422</v>
      </c>
      <c r="F128" s="9" t="s">
        <v>1872</v>
      </c>
      <c r="G128" s="9" t="s">
        <v>2423</v>
      </c>
      <c r="H128" s="9" t="s">
        <v>2424</v>
      </c>
      <c r="I128" s="9" t="s">
        <v>37</v>
      </c>
      <c r="J128" s="9" t="s">
        <v>2425</v>
      </c>
      <c r="K128" s="9" t="s">
        <v>2426</v>
      </c>
      <c r="L128" s="9" t="s">
        <v>587</v>
      </c>
      <c r="M128" s="9" t="s">
        <v>588</v>
      </c>
      <c r="N128" s="9" t="s">
        <v>2427</v>
      </c>
      <c r="O128" s="43"/>
    </row>
    <row r="129" customFormat="false" ht="15" hidden="false" customHeight="false" outlineLevel="0" collapsed="false">
      <c r="A129" s="8" t="s">
        <v>2428</v>
      </c>
      <c r="B129" s="9" t="s">
        <v>555</v>
      </c>
      <c r="C129" s="9" t="s">
        <v>37</v>
      </c>
      <c r="D129" s="9" t="s">
        <v>1892</v>
      </c>
      <c r="E129" s="9" t="s">
        <v>1827</v>
      </c>
      <c r="F129" s="9" t="s">
        <v>2429</v>
      </c>
      <c r="G129" s="9" t="s">
        <v>2430</v>
      </c>
      <c r="H129" s="9" t="s">
        <v>2431</v>
      </c>
      <c r="I129" s="9" t="s">
        <v>2432</v>
      </c>
      <c r="J129" s="9" t="s">
        <v>2433</v>
      </c>
      <c r="K129" s="9" t="s">
        <v>2434</v>
      </c>
      <c r="L129" s="9" t="s">
        <v>605</v>
      </c>
      <c r="M129" s="9" t="s">
        <v>588</v>
      </c>
      <c r="N129" s="9"/>
      <c r="O129" s="43"/>
    </row>
    <row r="130" customFormat="false" ht="15" hidden="false" customHeight="false" outlineLevel="0" collapsed="false">
      <c r="A130" s="8" t="s">
        <v>2435</v>
      </c>
      <c r="B130" s="9" t="s">
        <v>2436</v>
      </c>
      <c r="C130" s="9" t="s">
        <v>522</v>
      </c>
      <c r="D130" s="9" t="s">
        <v>2371</v>
      </c>
      <c r="E130" s="9" t="s">
        <v>1827</v>
      </c>
      <c r="F130" s="9" t="s">
        <v>1872</v>
      </c>
      <c r="G130" s="9" t="s">
        <v>1823</v>
      </c>
      <c r="H130" s="9" t="s">
        <v>2437</v>
      </c>
      <c r="I130" s="9" t="s">
        <v>37</v>
      </c>
      <c r="J130" s="9" t="s">
        <v>2438</v>
      </c>
      <c r="K130" s="9" t="s">
        <v>2439</v>
      </c>
      <c r="L130" s="9" t="s">
        <v>605</v>
      </c>
      <c r="M130" s="9" t="s">
        <v>588</v>
      </c>
      <c r="N130" s="9"/>
      <c r="O130" s="43"/>
    </row>
    <row r="131" customFormat="false" ht="15" hidden="false" customHeight="false" outlineLevel="0" collapsed="false">
      <c r="A131" s="8" t="s">
        <v>2440</v>
      </c>
      <c r="B131" s="9" t="s">
        <v>781</v>
      </c>
      <c r="C131" s="9" t="s">
        <v>37</v>
      </c>
      <c r="D131" s="9" t="s">
        <v>1892</v>
      </c>
      <c r="E131" s="9" t="s">
        <v>1827</v>
      </c>
      <c r="F131" s="9" t="s">
        <v>1872</v>
      </c>
      <c r="G131" s="9" t="s">
        <v>1823</v>
      </c>
      <c r="H131" s="9" t="s">
        <v>2441</v>
      </c>
      <c r="I131" s="9" t="s">
        <v>2442</v>
      </c>
      <c r="J131" s="9" t="s">
        <v>37</v>
      </c>
      <c r="K131" s="9" t="s">
        <v>37</v>
      </c>
      <c r="L131" s="9" t="s">
        <v>605</v>
      </c>
      <c r="M131" s="9" t="s">
        <v>588</v>
      </c>
      <c r="N131" s="9"/>
      <c r="O131" s="43"/>
    </row>
    <row r="132" customFormat="false" ht="15" hidden="false" customHeight="false" outlineLevel="0" collapsed="false">
      <c r="A132" s="8" t="s">
        <v>2443</v>
      </c>
      <c r="B132" s="9" t="s">
        <v>650</v>
      </c>
      <c r="C132" s="9" t="s">
        <v>530</v>
      </c>
      <c r="D132" s="9" t="s">
        <v>1857</v>
      </c>
      <c r="E132" s="9" t="s">
        <v>2444</v>
      </c>
      <c r="F132" s="9" t="s">
        <v>1872</v>
      </c>
      <c r="G132" s="9" t="s">
        <v>1805</v>
      </c>
      <c r="H132" s="9" t="s">
        <v>2445</v>
      </c>
      <c r="I132" s="9" t="s">
        <v>37</v>
      </c>
      <c r="J132" s="9" t="s">
        <v>2446</v>
      </c>
      <c r="K132" s="9" t="s">
        <v>2447</v>
      </c>
      <c r="L132" s="9" t="s">
        <v>587</v>
      </c>
      <c r="M132" s="9" t="s">
        <v>588</v>
      </c>
      <c r="N132" s="9"/>
      <c r="O132" s="43"/>
    </row>
    <row r="133" customFormat="false" ht="15" hidden="false" customHeight="false" outlineLevel="0" collapsed="false">
      <c r="A133" s="8" t="s">
        <v>2448</v>
      </c>
      <c r="B133" s="9" t="s">
        <v>562</v>
      </c>
      <c r="C133" s="9" t="s">
        <v>9</v>
      </c>
      <c r="D133" s="9" t="s">
        <v>933</v>
      </c>
      <c r="E133" s="9" t="s">
        <v>2444</v>
      </c>
      <c r="F133" s="9" t="s">
        <v>1872</v>
      </c>
      <c r="G133" s="9" t="s">
        <v>1805</v>
      </c>
      <c r="H133" s="9" t="s">
        <v>2449</v>
      </c>
      <c r="I133" s="9" t="s">
        <v>37</v>
      </c>
      <c r="J133" s="9" t="s">
        <v>2450</v>
      </c>
      <c r="K133" s="9" t="s">
        <v>886</v>
      </c>
      <c r="L133" s="9" t="s">
        <v>587</v>
      </c>
      <c r="M133" s="9" t="s">
        <v>588</v>
      </c>
      <c r="N133" s="9"/>
      <c r="O133" s="43"/>
    </row>
    <row r="134" customFormat="false" ht="15" hidden="false" customHeight="false" outlineLevel="0" collapsed="false">
      <c r="A134" s="8" t="s">
        <v>2451</v>
      </c>
      <c r="B134" s="9" t="s">
        <v>2452</v>
      </c>
      <c r="C134" s="9" t="s">
        <v>2453</v>
      </c>
      <c r="D134" s="9" t="s">
        <v>1857</v>
      </c>
      <c r="E134" s="9" t="s">
        <v>2454</v>
      </c>
      <c r="F134" s="9" t="s">
        <v>1872</v>
      </c>
      <c r="G134" s="9" t="s">
        <v>2455</v>
      </c>
      <c r="H134" s="9" t="s">
        <v>2456</v>
      </c>
      <c r="I134" s="9" t="s">
        <v>37</v>
      </c>
      <c r="J134" s="9" t="s">
        <v>2457</v>
      </c>
      <c r="K134" s="9" t="s">
        <v>37</v>
      </c>
      <c r="L134" s="9" t="s">
        <v>587</v>
      </c>
      <c r="M134" s="9" t="s">
        <v>588</v>
      </c>
      <c r="N134" s="9" t="s">
        <v>2458</v>
      </c>
      <c r="O134" s="43"/>
    </row>
    <row r="135" customFormat="false" ht="23.85" hidden="false" customHeight="false" outlineLevel="0" collapsed="false">
      <c r="A135" s="8" t="s">
        <v>2459</v>
      </c>
      <c r="B135" s="9" t="s">
        <v>555</v>
      </c>
      <c r="C135" s="9" t="s">
        <v>556</v>
      </c>
      <c r="D135" s="9" t="s">
        <v>1892</v>
      </c>
      <c r="E135" s="9" t="s">
        <v>2460</v>
      </c>
      <c r="F135" s="9" t="s">
        <v>1872</v>
      </c>
      <c r="G135" s="9" t="s">
        <v>1805</v>
      </c>
      <c r="H135" s="9" t="s">
        <v>2461</v>
      </c>
      <c r="I135" s="9" t="s">
        <v>2462</v>
      </c>
      <c r="J135" s="9" t="s">
        <v>2463</v>
      </c>
      <c r="K135" s="9" t="s">
        <v>2464</v>
      </c>
      <c r="L135" s="9" t="s">
        <v>541</v>
      </c>
      <c r="M135" s="9" t="s">
        <v>588</v>
      </c>
      <c r="N135" s="9" t="s">
        <v>2465</v>
      </c>
      <c r="O135" s="43"/>
    </row>
    <row r="136" customFormat="false" ht="15" hidden="false" customHeight="false" outlineLevel="0" collapsed="false">
      <c r="A136" s="8" t="s">
        <v>2466</v>
      </c>
      <c r="B136" s="9" t="s">
        <v>199</v>
      </c>
      <c r="C136" s="9" t="s">
        <v>664</v>
      </c>
      <c r="D136" s="9" t="s">
        <v>1892</v>
      </c>
      <c r="E136" s="9" t="s">
        <v>2460</v>
      </c>
      <c r="F136" s="9" t="s">
        <v>1872</v>
      </c>
      <c r="G136" s="9" t="s">
        <v>1805</v>
      </c>
      <c r="H136" s="9" t="s">
        <v>2467</v>
      </c>
      <c r="I136" s="9" t="s">
        <v>37</v>
      </c>
      <c r="J136" s="9" t="s">
        <v>2468</v>
      </c>
      <c r="K136" s="9" t="s">
        <v>2469</v>
      </c>
      <c r="L136" s="9" t="s">
        <v>541</v>
      </c>
      <c r="M136" s="9" t="s">
        <v>588</v>
      </c>
      <c r="N136" s="9" t="s">
        <v>2470</v>
      </c>
      <c r="O136" s="43"/>
    </row>
    <row r="137" customFormat="false" ht="15" hidden="false" customHeight="false" outlineLevel="0" collapsed="false">
      <c r="A137" s="8" t="s">
        <v>2471</v>
      </c>
      <c r="B137" s="9" t="s">
        <v>562</v>
      </c>
      <c r="C137" s="9" t="s">
        <v>9</v>
      </c>
      <c r="D137" s="9" t="s">
        <v>933</v>
      </c>
      <c r="E137" s="9" t="s">
        <v>2460</v>
      </c>
      <c r="F137" s="9" t="s">
        <v>1872</v>
      </c>
      <c r="G137" s="9" t="s">
        <v>1805</v>
      </c>
      <c r="H137" s="9" t="s">
        <v>2472</v>
      </c>
      <c r="I137" s="9" t="s">
        <v>37</v>
      </c>
      <c r="J137" s="9" t="s">
        <v>37</v>
      </c>
      <c r="K137" s="9" t="s">
        <v>2473</v>
      </c>
      <c r="L137" s="9" t="s">
        <v>587</v>
      </c>
      <c r="M137" s="9" t="s">
        <v>588</v>
      </c>
      <c r="N137" s="9"/>
      <c r="O137" s="43"/>
    </row>
    <row r="138" customFormat="false" ht="15" hidden="false" customHeight="false" outlineLevel="0" collapsed="false">
      <c r="A138" s="8" t="s">
        <v>2474</v>
      </c>
      <c r="B138" s="9" t="s">
        <v>562</v>
      </c>
      <c r="C138" s="9" t="s">
        <v>9</v>
      </c>
      <c r="D138" s="9" t="s">
        <v>933</v>
      </c>
      <c r="E138" s="9" t="s">
        <v>2475</v>
      </c>
      <c r="F138" s="9" t="s">
        <v>1872</v>
      </c>
      <c r="G138" s="9" t="s">
        <v>1805</v>
      </c>
      <c r="H138" s="9" t="s">
        <v>2476</v>
      </c>
      <c r="I138" s="9" t="s">
        <v>37</v>
      </c>
      <c r="J138" s="9" t="s">
        <v>37</v>
      </c>
      <c r="K138" s="9" t="s">
        <v>2477</v>
      </c>
      <c r="L138" s="9" t="s">
        <v>587</v>
      </c>
      <c r="M138" s="9" t="s">
        <v>588</v>
      </c>
      <c r="N138" s="9"/>
      <c r="O138" s="43"/>
    </row>
    <row r="139" customFormat="false" ht="15" hidden="false" customHeight="false" outlineLevel="0" collapsed="false">
      <c r="A139" s="8" t="s">
        <v>2478</v>
      </c>
      <c r="B139" s="9" t="s">
        <v>2479</v>
      </c>
      <c r="C139" s="9" t="s">
        <v>37</v>
      </c>
      <c r="D139" s="9" t="s">
        <v>1911</v>
      </c>
      <c r="E139" s="9" t="s">
        <v>2480</v>
      </c>
      <c r="F139" s="9" t="s">
        <v>1872</v>
      </c>
      <c r="G139" s="9" t="s">
        <v>2481</v>
      </c>
      <c r="H139" s="9" t="s">
        <v>2482</v>
      </c>
      <c r="I139" s="9" t="s">
        <v>37</v>
      </c>
      <c r="J139" s="9" t="s">
        <v>2483</v>
      </c>
      <c r="K139" s="9" t="s">
        <v>2484</v>
      </c>
      <c r="L139" s="9" t="s">
        <v>587</v>
      </c>
      <c r="M139" s="9" t="s">
        <v>588</v>
      </c>
      <c r="N139" s="9" t="s">
        <v>2485</v>
      </c>
      <c r="O139" s="43"/>
    </row>
    <row r="140" customFormat="false" ht="15" hidden="false" customHeight="false" outlineLevel="0" collapsed="false">
      <c r="A140" s="8" t="s">
        <v>2486</v>
      </c>
      <c r="B140" s="9" t="s">
        <v>562</v>
      </c>
      <c r="C140" s="9" t="s">
        <v>9</v>
      </c>
      <c r="D140" s="9" t="s">
        <v>933</v>
      </c>
      <c r="E140" s="9" t="s">
        <v>2487</v>
      </c>
      <c r="F140" s="9" t="s">
        <v>1872</v>
      </c>
      <c r="G140" s="9" t="s">
        <v>1487</v>
      </c>
      <c r="H140" s="9" t="s">
        <v>2233</v>
      </c>
      <c r="I140" s="9" t="s">
        <v>37</v>
      </c>
      <c r="J140" s="9" t="s">
        <v>2488</v>
      </c>
      <c r="K140" s="9" t="s">
        <v>2489</v>
      </c>
      <c r="L140" s="9" t="s">
        <v>587</v>
      </c>
      <c r="M140" s="9" t="s">
        <v>588</v>
      </c>
      <c r="N140" s="9"/>
      <c r="O140" s="43"/>
    </row>
    <row r="141" customFormat="false" ht="15" hidden="false" customHeight="false" outlineLevel="0" collapsed="false">
      <c r="A141" s="8" t="s">
        <v>2490</v>
      </c>
      <c r="B141" s="9" t="s">
        <v>2491</v>
      </c>
      <c r="C141" s="9" t="s">
        <v>738</v>
      </c>
      <c r="D141" s="9" t="s">
        <v>1911</v>
      </c>
      <c r="E141" s="9" t="s">
        <v>2492</v>
      </c>
      <c r="F141" s="9" t="s">
        <v>1872</v>
      </c>
      <c r="G141" s="9" t="s">
        <v>2493</v>
      </c>
      <c r="H141" s="9" t="s">
        <v>2267</v>
      </c>
      <c r="I141" s="9" t="s">
        <v>2494</v>
      </c>
      <c r="J141" s="9" t="s">
        <v>1980</v>
      </c>
      <c r="K141" s="9" t="s">
        <v>2495</v>
      </c>
      <c r="L141" s="9" t="s">
        <v>587</v>
      </c>
      <c r="M141" s="9" t="s">
        <v>588</v>
      </c>
      <c r="N141" s="9"/>
      <c r="O141" s="43"/>
    </row>
    <row r="142" customFormat="false" ht="15" hidden="false" customHeight="false" outlineLevel="0" collapsed="false">
      <c r="A142" s="8" t="s">
        <v>2496</v>
      </c>
      <c r="B142" s="9" t="s">
        <v>555</v>
      </c>
      <c r="C142" s="9" t="s">
        <v>556</v>
      </c>
      <c r="D142" s="9" t="s">
        <v>1892</v>
      </c>
      <c r="E142" s="9" t="s">
        <v>306</v>
      </c>
      <c r="F142" s="9" t="s">
        <v>1872</v>
      </c>
      <c r="G142" s="9" t="s">
        <v>1997</v>
      </c>
      <c r="H142" s="9" t="s">
        <v>2497</v>
      </c>
      <c r="I142" s="9" t="s">
        <v>37</v>
      </c>
      <c r="J142" s="9" t="s">
        <v>2498</v>
      </c>
      <c r="K142" s="9" t="s">
        <v>37</v>
      </c>
      <c r="L142" s="9" t="s">
        <v>605</v>
      </c>
      <c r="M142" s="9" t="s">
        <v>588</v>
      </c>
      <c r="N142" s="9"/>
      <c r="O142" s="43"/>
    </row>
    <row r="143" customFormat="false" ht="23.85" hidden="false" customHeight="false" outlineLevel="0" collapsed="false">
      <c r="A143" s="8" t="s">
        <v>2499</v>
      </c>
      <c r="B143" s="9" t="s">
        <v>186</v>
      </c>
      <c r="C143" s="9" t="s">
        <v>530</v>
      </c>
      <c r="D143" s="9" t="s">
        <v>1892</v>
      </c>
      <c r="E143" s="9" t="s">
        <v>2500</v>
      </c>
      <c r="F143" s="9" t="s">
        <v>1872</v>
      </c>
      <c r="G143" s="9" t="s">
        <v>2501</v>
      </c>
      <c r="H143" s="9" t="s">
        <v>2502</v>
      </c>
      <c r="I143" s="9" t="s">
        <v>2503</v>
      </c>
      <c r="J143" s="9" t="s">
        <v>2504</v>
      </c>
      <c r="K143" s="9" t="s">
        <v>2505</v>
      </c>
      <c r="L143" s="9" t="s">
        <v>587</v>
      </c>
      <c r="M143" s="9" t="s">
        <v>588</v>
      </c>
      <c r="N143" s="9"/>
      <c r="O143" s="43"/>
    </row>
    <row r="144" customFormat="false" ht="23.85" hidden="false" customHeight="false" outlineLevel="0" collapsed="false">
      <c r="A144" s="8" t="s">
        <v>2506</v>
      </c>
      <c r="B144" s="9" t="s">
        <v>2507</v>
      </c>
      <c r="C144" s="9" t="s">
        <v>2508</v>
      </c>
      <c r="D144" s="9" t="s">
        <v>2371</v>
      </c>
      <c r="E144" s="9" t="s">
        <v>2509</v>
      </c>
      <c r="F144" s="9" t="s">
        <v>1872</v>
      </c>
      <c r="G144" s="9" t="s">
        <v>2153</v>
      </c>
      <c r="H144" s="9" t="s">
        <v>2510</v>
      </c>
      <c r="I144" s="9" t="s">
        <v>2511</v>
      </c>
      <c r="J144" s="9" t="s">
        <v>2512</v>
      </c>
      <c r="K144" s="9" t="s">
        <v>2513</v>
      </c>
      <c r="L144" s="9" t="s">
        <v>587</v>
      </c>
      <c r="M144" s="9" t="s">
        <v>588</v>
      </c>
      <c r="N144" s="9" t="s">
        <v>2514</v>
      </c>
      <c r="O144" s="43"/>
    </row>
    <row r="145" customFormat="false" ht="15" hidden="false" customHeight="false" outlineLevel="0" collapsed="false">
      <c r="A145" s="8" t="s">
        <v>2515</v>
      </c>
      <c r="B145" s="9" t="s">
        <v>1067</v>
      </c>
      <c r="C145" s="9" t="s">
        <v>37</v>
      </c>
      <c r="D145" s="9" t="s">
        <v>2371</v>
      </c>
      <c r="E145" s="9" t="s">
        <v>2516</v>
      </c>
      <c r="F145" s="9" t="s">
        <v>1872</v>
      </c>
      <c r="G145" s="9" t="s">
        <v>2517</v>
      </c>
      <c r="H145" s="9" t="s">
        <v>2363</v>
      </c>
      <c r="I145" s="9" t="s">
        <v>2518</v>
      </c>
      <c r="J145" s="9" t="s">
        <v>2519</v>
      </c>
      <c r="K145" s="9" t="s">
        <v>2520</v>
      </c>
      <c r="L145" s="9" t="s">
        <v>605</v>
      </c>
      <c r="M145" s="9" t="s">
        <v>588</v>
      </c>
      <c r="N145" s="9"/>
      <c r="O145" s="43"/>
    </row>
    <row r="146" customFormat="false" ht="15" hidden="false" customHeight="false" outlineLevel="0" collapsed="false">
      <c r="A146" s="8" t="s">
        <v>2521</v>
      </c>
      <c r="B146" s="9" t="s">
        <v>2522</v>
      </c>
      <c r="C146" s="9" t="s">
        <v>37</v>
      </c>
      <c r="D146" s="9" t="s">
        <v>2371</v>
      </c>
      <c r="E146" s="9" t="s">
        <v>2523</v>
      </c>
      <c r="F146" s="9" t="s">
        <v>1872</v>
      </c>
      <c r="G146" s="9" t="s">
        <v>2524</v>
      </c>
      <c r="H146" s="9" t="s">
        <v>2525</v>
      </c>
      <c r="I146" s="9" t="s">
        <v>37</v>
      </c>
      <c r="J146" s="9" t="s">
        <v>37</v>
      </c>
      <c r="K146" s="9" t="s">
        <v>37</v>
      </c>
      <c r="L146" s="9" t="s">
        <v>605</v>
      </c>
      <c r="M146" s="9" t="s">
        <v>588</v>
      </c>
      <c r="N146" s="9"/>
      <c r="O146" s="43"/>
    </row>
    <row r="147" customFormat="false" ht="15" hidden="false" customHeight="false" outlineLevel="0" collapsed="false">
      <c r="A147" s="8" t="s">
        <v>2526</v>
      </c>
      <c r="B147" s="9" t="s">
        <v>2527</v>
      </c>
      <c r="C147" s="9" t="s">
        <v>2528</v>
      </c>
      <c r="D147" s="9" t="s">
        <v>933</v>
      </c>
      <c r="E147" s="9" t="s">
        <v>2259</v>
      </c>
      <c r="F147" s="9" t="s">
        <v>2529</v>
      </c>
      <c r="G147" s="9" t="s">
        <v>2530</v>
      </c>
      <c r="H147" s="9" t="s">
        <v>2531</v>
      </c>
      <c r="I147" s="9" t="s">
        <v>37</v>
      </c>
      <c r="J147" s="9" t="s">
        <v>2532</v>
      </c>
      <c r="K147" s="9" t="s">
        <v>2533</v>
      </c>
      <c r="L147" s="9" t="s">
        <v>587</v>
      </c>
      <c r="M147" s="9" t="s">
        <v>588</v>
      </c>
      <c r="N147" s="9" t="s">
        <v>2534</v>
      </c>
      <c r="O147" s="43"/>
    </row>
    <row r="148" customFormat="false" ht="15" hidden="false" customHeight="false" outlineLevel="0" collapsed="false">
      <c r="A148" s="8" t="s">
        <v>2535</v>
      </c>
      <c r="B148" s="9" t="s">
        <v>2318</v>
      </c>
      <c r="C148" s="9" t="s">
        <v>37</v>
      </c>
      <c r="D148" s="9" t="s">
        <v>2310</v>
      </c>
      <c r="E148" s="9" t="s">
        <v>2536</v>
      </c>
      <c r="F148" s="9" t="s">
        <v>1872</v>
      </c>
      <c r="G148" s="9" t="s">
        <v>2537</v>
      </c>
      <c r="H148" s="9" t="s">
        <v>2538</v>
      </c>
      <c r="I148" s="9" t="s">
        <v>2539</v>
      </c>
      <c r="J148" s="9" t="s">
        <v>37</v>
      </c>
      <c r="K148" s="9" t="s">
        <v>2540</v>
      </c>
      <c r="L148" s="9" t="s">
        <v>830</v>
      </c>
      <c r="M148" s="9" t="s">
        <v>588</v>
      </c>
      <c r="N148" s="9" t="s">
        <v>2541</v>
      </c>
      <c r="O148" s="43"/>
    </row>
    <row r="149" customFormat="false" ht="15" hidden="false" customHeight="false" outlineLevel="0" collapsed="false">
      <c r="A149" s="8" t="s">
        <v>2542</v>
      </c>
      <c r="B149" s="9" t="s">
        <v>2543</v>
      </c>
      <c r="C149" s="9" t="s">
        <v>522</v>
      </c>
      <c r="D149" s="9" t="s">
        <v>2371</v>
      </c>
      <c r="E149" s="9" t="s">
        <v>2544</v>
      </c>
      <c r="F149" s="9" t="s">
        <v>1872</v>
      </c>
      <c r="G149" s="9" t="s">
        <v>1994</v>
      </c>
      <c r="H149" s="9" t="s">
        <v>2545</v>
      </c>
      <c r="I149" s="9" t="s">
        <v>2546</v>
      </c>
      <c r="J149" s="9" t="s">
        <v>37</v>
      </c>
      <c r="K149" s="9" t="s">
        <v>2547</v>
      </c>
      <c r="L149" s="9" t="s">
        <v>830</v>
      </c>
      <c r="M149" s="9" t="s">
        <v>588</v>
      </c>
      <c r="N149" s="9" t="s">
        <v>2548</v>
      </c>
      <c r="O149" s="43"/>
    </row>
    <row r="150" customFormat="false" ht="23.85" hidden="false" customHeight="false" outlineLevel="0" collapsed="false">
      <c r="A150" s="8" t="s">
        <v>2549</v>
      </c>
      <c r="B150" s="9" t="s">
        <v>2550</v>
      </c>
      <c r="C150" s="9" t="s">
        <v>738</v>
      </c>
      <c r="D150" s="9" t="s">
        <v>1857</v>
      </c>
      <c r="E150" s="9" t="s">
        <v>2551</v>
      </c>
      <c r="F150" s="9" t="s">
        <v>2005</v>
      </c>
      <c r="G150" s="9" t="s">
        <v>2177</v>
      </c>
      <c r="H150" s="9" t="s">
        <v>2552</v>
      </c>
      <c r="I150" s="9" t="s">
        <v>2553</v>
      </c>
      <c r="J150" s="9" t="s">
        <v>2554</v>
      </c>
      <c r="K150" s="9" t="s">
        <v>2555</v>
      </c>
      <c r="L150" s="9" t="s">
        <v>541</v>
      </c>
      <c r="M150" s="9" t="s">
        <v>588</v>
      </c>
      <c r="N150" s="9" t="s">
        <v>2556</v>
      </c>
      <c r="O150" s="43"/>
    </row>
    <row r="151" customFormat="false" ht="15" hidden="false" customHeight="false" outlineLevel="0" collapsed="false">
      <c r="A151" s="8" t="s">
        <v>2557</v>
      </c>
      <c r="B151" s="9" t="s">
        <v>2558</v>
      </c>
      <c r="C151" s="9" t="s">
        <v>530</v>
      </c>
      <c r="D151" s="9" t="s">
        <v>1857</v>
      </c>
      <c r="E151" s="9" t="s">
        <v>2559</v>
      </c>
      <c r="F151" s="9" t="s">
        <v>2005</v>
      </c>
      <c r="G151" s="9" t="s">
        <v>1810</v>
      </c>
      <c r="H151" s="9" t="s">
        <v>2560</v>
      </c>
      <c r="I151" s="9" t="s">
        <v>37</v>
      </c>
      <c r="J151" s="9" t="s">
        <v>2561</v>
      </c>
      <c r="K151" s="9" t="s">
        <v>2562</v>
      </c>
      <c r="L151" s="9" t="s">
        <v>587</v>
      </c>
      <c r="M151" s="9" t="s">
        <v>588</v>
      </c>
      <c r="N151" s="9" t="s">
        <v>2563</v>
      </c>
      <c r="O151" s="43"/>
    </row>
    <row r="152" customFormat="false" ht="15" hidden="false" customHeight="false" outlineLevel="0" collapsed="false">
      <c r="A152" s="8" t="s">
        <v>2564</v>
      </c>
      <c r="B152" s="9" t="s">
        <v>555</v>
      </c>
      <c r="C152" s="9" t="s">
        <v>738</v>
      </c>
      <c r="D152" s="9" t="s">
        <v>1892</v>
      </c>
      <c r="E152" s="9" t="s">
        <v>256</v>
      </c>
      <c r="F152" s="9" t="s">
        <v>1872</v>
      </c>
      <c r="G152" s="9" t="s">
        <v>2132</v>
      </c>
      <c r="H152" s="9" t="s">
        <v>2565</v>
      </c>
      <c r="I152" s="9" t="s">
        <v>2566</v>
      </c>
      <c r="J152" s="9" t="s">
        <v>37</v>
      </c>
      <c r="K152" s="9" t="s">
        <v>37</v>
      </c>
      <c r="L152" s="9" t="s">
        <v>605</v>
      </c>
      <c r="M152" s="9" t="s">
        <v>588</v>
      </c>
      <c r="N152" s="9"/>
      <c r="O152" s="43"/>
    </row>
    <row r="153" customFormat="false" ht="15" hidden="false" customHeight="false" outlineLevel="0" collapsed="false">
      <c r="A153" s="8" t="s">
        <v>2567</v>
      </c>
      <c r="B153" s="9" t="s">
        <v>2568</v>
      </c>
      <c r="C153" s="9" t="s">
        <v>37</v>
      </c>
      <c r="D153" s="9" t="s">
        <v>1892</v>
      </c>
      <c r="E153" s="9" t="s">
        <v>2569</v>
      </c>
      <c r="F153" s="9" t="s">
        <v>1872</v>
      </c>
      <c r="G153" s="9" t="s">
        <v>2300</v>
      </c>
      <c r="H153" s="9" t="s">
        <v>2570</v>
      </c>
      <c r="I153" s="9" t="s">
        <v>2571</v>
      </c>
      <c r="J153" s="9" t="s">
        <v>2572</v>
      </c>
      <c r="K153" s="9" t="s">
        <v>2573</v>
      </c>
      <c r="L153" s="9" t="s">
        <v>605</v>
      </c>
      <c r="M153" s="9" t="s">
        <v>588</v>
      </c>
      <c r="N153" s="9"/>
      <c r="O153" s="43"/>
    </row>
    <row r="154" customFormat="false" ht="15" hidden="false" customHeight="false" outlineLevel="0" collapsed="false">
      <c r="A154" s="8" t="s">
        <v>2574</v>
      </c>
      <c r="B154" s="9" t="s">
        <v>555</v>
      </c>
      <c r="C154" s="9" t="s">
        <v>37</v>
      </c>
      <c r="D154" s="9" t="s">
        <v>1892</v>
      </c>
      <c r="E154" s="9" t="s">
        <v>2575</v>
      </c>
      <c r="F154" s="9" t="s">
        <v>1872</v>
      </c>
      <c r="G154" s="9" t="s">
        <v>2300</v>
      </c>
      <c r="H154" s="9" t="s">
        <v>2576</v>
      </c>
      <c r="I154" s="9" t="s">
        <v>37</v>
      </c>
      <c r="J154" s="9" t="s">
        <v>2577</v>
      </c>
      <c r="K154" s="9" t="s">
        <v>37</v>
      </c>
      <c r="L154" s="9" t="s">
        <v>605</v>
      </c>
      <c r="M154" s="9" t="s">
        <v>588</v>
      </c>
      <c r="N154" s="9"/>
      <c r="O154" s="43"/>
    </row>
    <row r="156" customFormat="false" ht="55.5" hidden="false" customHeight="true" outlineLevel="0" collapsed="false">
      <c r="A156" s="11" t="s">
        <v>2578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7D6E"/>
    <pageSetUpPr fitToPage="false"/>
  </sheetPr>
  <dimension ref="A1:K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44"/>
    <col collapsed="false" customWidth="true" hidden="false" outlineLevel="0" max="4" min="4" style="1" width="11"/>
    <col collapsed="false" customWidth="true" hidden="false" outlineLevel="0" max="5" min="5" style="1" width="40"/>
    <col collapsed="false" customWidth="true" hidden="false" outlineLevel="0" max="6" min="6" style="1" width="32"/>
    <col collapsed="false" customWidth="true" hidden="false" outlineLevel="0" max="7" min="7" style="1" width="24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24"/>
    <col collapsed="false" customWidth="true" hidden="false" outlineLevel="0" max="11" min="11" style="1" width="28"/>
  </cols>
  <sheetData>
    <row r="1" customFormat="false" ht="24" hidden="false" customHeight="true" outlineLevel="0" collapsed="false">
      <c r="A1" s="2" t="s">
        <v>2579</v>
      </c>
    </row>
    <row r="2" customFormat="false" ht="15.75" hidden="false" customHeight="true" outlineLevel="0" collapsed="false">
      <c r="A2" s="3" t="s">
        <v>2580</v>
      </c>
    </row>
    <row r="3" customFormat="false" ht="13.5" hidden="false" customHeight="true" outlineLevel="0" collapsed="false">
      <c r="A3" s="4" t="s">
        <v>2581</v>
      </c>
      <c r="E3" s="5" t="s">
        <v>2582</v>
      </c>
      <c r="F3" s="6" t="n">
        <f aca="false">COUNTA($A$6:$A$89)</f>
        <v>84</v>
      </c>
    </row>
    <row r="4" customFormat="false" ht="6" hidden="false" customHeight="true" outlineLevel="0" collapsed="false"/>
    <row r="5" customFormat="false" ht="27.75" hidden="false" customHeight="true" outlineLevel="0" collapsed="false">
      <c r="A5" s="7" t="s">
        <v>2583</v>
      </c>
      <c r="B5" s="7" t="s">
        <v>383</v>
      </c>
      <c r="C5" s="7" t="s">
        <v>2584</v>
      </c>
      <c r="D5" s="7" t="s">
        <v>7</v>
      </c>
      <c r="E5" s="7" t="s">
        <v>2585</v>
      </c>
      <c r="F5" s="7" t="s">
        <v>2586</v>
      </c>
      <c r="G5" s="7" t="s">
        <v>2587</v>
      </c>
      <c r="H5" s="7" t="s">
        <v>15</v>
      </c>
      <c r="I5" s="7" t="s">
        <v>389</v>
      </c>
      <c r="J5" s="7" t="s">
        <v>16</v>
      </c>
      <c r="K5" s="7" t="s">
        <v>390</v>
      </c>
    </row>
    <row r="6" customFormat="false" ht="15" hidden="false" customHeight="true" outlineLevel="0" collapsed="false">
      <c r="A6" s="8" t="s">
        <v>2588</v>
      </c>
      <c r="B6" s="9" t="s">
        <v>248</v>
      </c>
      <c r="C6" s="9" t="s">
        <v>2589</v>
      </c>
      <c r="D6" s="9" t="s">
        <v>249</v>
      </c>
      <c r="E6" s="9" t="s">
        <v>2590</v>
      </c>
      <c r="F6" s="9" t="s">
        <v>2591</v>
      </c>
      <c r="G6" s="43"/>
      <c r="H6" s="43"/>
      <c r="I6" s="53"/>
      <c r="J6" s="43"/>
      <c r="K6" s="43"/>
    </row>
    <row r="7" customFormat="false" ht="15" hidden="false" customHeight="true" outlineLevel="0" collapsed="false">
      <c r="A7" s="8" t="s">
        <v>2592</v>
      </c>
      <c r="B7" s="9" t="s">
        <v>248</v>
      </c>
      <c r="C7" s="9" t="s">
        <v>2589</v>
      </c>
      <c r="D7" s="9" t="s">
        <v>249</v>
      </c>
      <c r="E7" s="9" t="s">
        <v>2593</v>
      </c>
      <c r="F7" s="9" t="s">
        <v>37</v>
      </c>
      <c r="G7" s="43"/>
      <c r="H7" s="43"/>
      <c r="I7" s="53"/>
      <c r="J7" s="43"/>
      <c r="K7" s="43"/>
    </row>
    <row r="8" customFormat="false" ht="23.25" hidden="false" customHeight="true" outlineLevel="0" collapsed="false">
      <c r="A8" s="8" t="s">
        <v>2594</v>
      </c>
      <c r="B8" s="9" t="s">
        <v>832</v>
      </c>
      <c r="C8" s="9" t="s">
        <v>2595</v>
      </c>
      <c r="D8" s="9" t="s">
        <v>2596</v>
      </c>
      <c r="E8" s="9" t="s">
        <v>2597</v>
      </c>
      <c r="F8" s="9" t="s">
        <v>37</v>
      </c>
      <c r="G8" s="43"/>
      <c r="H8" s="43"/>
      <c r="I8" s="53"/>
      <c r="J8" s="43"/>
      <c r="K8" s="43"/>
    </row>
    <row r="9" customFormat="false" ht="15" hidden="false" customHeight="true" outlineLevel="0" collapsed="false">
      <c r="A9" s="8" t="s">
        <v>2598</v>
      </c>
      <c r="B9" s="9" t="s">
        <v>269</v>
      </c>
      <c r="C9" s="9" t="s">
        <v>2599</v>
      </c>
      <c r="D9" s="9" t="s">
        <v>249</v>
      </c>
      <c r="E9" s="9" t="s">
        <v>2600</v>
      </c>
      <c r="F9" s="9" t="s">
        <v>2601</v>
      </c>
      <c r="G9" s="43"/>
      <c r="H9" s="43"/>
      <c r="I9" s="53"/>
      <c r="J9" s="43"/>
      <c r="K9" s="43"/>
    </row>
    <row r="10" customFormat="false" ht="15" hidden="false" customHeight="true" outlineLevel="0" collapsed="false">
      <c r="A10" s="8" t="s">
        <v>2602</v>
      </c>
      <c r="B10" s="9" t="s">
        <v>269</v>
      </c>
      <c r="C10" s="9" t="s">
        <v>2603</v>
      </c>
      <c r="D10" s="9" t="s">
        <v>249</v>
      </c>
      <c r="E10" s="9" t="s">
        <v>2604</v>
      </c>
      <c r="F10" s="9" t="s">
        <v>37</v>
      </c>
      <c r="G10" s="43"/>
      <c r="H10" s="43"/>
      <c r="I10" s="53"/>
      <c r="J10" s="43"/>
      <c r="K10" s="43"/>
    </row>
    <row r="11" customFormat="false" ht="15" hidden="false" customHeight="true" outlineLevel="0" collapsed="false">
      <c r="A11" s="8" t="s">
        <v>2605</v>
      </c>
      <c r="B11" s="9" t="s">
        <v>269</v>
      </c>
      <c r="C11" s="9" t="s">
        <v>2606</v>
      </c>
      <c r="D11" s="9" t="s">
        <v>249</v>
      </c>
      <c r="E11" s="9"/>
      <c r="F11" s="9" t="s">
        <v>37</v>
      </c>
      <c r="G11" s="43"/>
      <c r="H11" s="43"/>
      <c r="I11" s="53"/>
      <c r="J11" s="43"/>
      <c r="K11" s="43"/>
    </row>
    <row r="12" customFormat="false" ht="15" hidden="false" customHeight="true" outlineLevel="0" collapsed="false">
      <c r="A12" s="8" t="s">
        <v>2607</v>
      </c>
      <c r="B12" s="9" t="s">
        <v>260</v>
      </c>
      <c r="C12" s="9" t="s">
        <v>2608</v>
      </c>
      <c r="D12" s="9" t="s">
        <v>249</v>
      </c>
      <c r="E12" s="9" t="s">
        <v>2609</v>
      </c>
      <c r="F12" s="9" t="s">
        <v>37</v>
      </c>
      <c r="G12" s="43"/>
      <c r="H12" s="43"/>
      <c r="I12" s="53"/>
      <c r="J12" s="43"/>
      <c r="K12" s="43"/>
    </row>
    <row r="13" customFormat="false" ht="15" hidden="false" customHeight="true" outlineLevel="0" collapsed="false">
      <c r="A13" s="8" t="s">
        <v>2610</v>
      </c>
      <c r="B13" s="9" t="s">
        <v>260</v>
      </c>
      <c r="C13" s="9" t="s">
        <v>2611</v>
      </c>
      <c r="D13" s="9" t="s">
        <v>249</v>
      </c>
      <c r="E13" s="9" t="s">
        <v>2612</v>
      </c>
      <c r="F13" s="9" t="s">
        <v>37</v>
      </c>
      <c r="G13" s="43"/>
      <c r="H13" s="43"/>
      <c r="I13" s="53"/>
      <c r="J13" s="43"/>
      <c r="K13" s="43"/>
    </row>
    <row r="14" customFormat="false" ht="15" hidden="false" customHeight="true" outlineLevel="0" collapsed="false">
      <c r="A14" s="8" t="s">
        <v>2613</v>
      </c>
      <c r="B14" s="9" t="s">
        <v>264</v>
      </c>
      <c r="C14" s="9" t="s">
        <v>2614</v>
      </c>
      <c r="D14" s="9" t="s">
        <v>249</v>
      </c>
      <c r="E14" s="9" t="s">
        <v>2615</v>
      </c>
      <c r="F14" s="9" t="s">
        <v>37</v>
      </c>
      <c r="G14" s="43"/>
      <c r="H14" s="43"/>
      <c r="I14" s="53"/>
      <c r="J14" s="43"/>
      <c r="K14" s="43"/>
    </row>
    <row r="15" customFormat="false" ht="15" hidden="false" customHeight="true" outlineLevel="0" collapsed="false">
      <c r="A15" s="8" t="s">
        <v>2616</v>
      </c>
      <c r="B15" s="9" t="s">
        <v>264</v>
      </c>
      <c r="C15" s="9" t="s">
        <v>2617</v>
      </c>
      <c r="D15" s="9" t="s">
        <v>249</v>
      </c>
      <c r="E15" s="9" t="s">
        <v>2618</v>
      </c>
      <c r="F15" s="9" t="s">
        <v>37</v>
      </c>
      <c r="G15" s="43"/>
      <c r="H15" s="43"/>
      <c r="I15" s="53"/>
      <c r="J15" s="43"/>
      <c r="K15" s="43"/>
    </row>
    <row r="16" customFormat="false" ht="23.25" hidden="false" customHeight="true" outlineLevel="0" collapsed="false">
      <c r="A16" s="8" t="s">
        <v>2619</v>
      </c>
      <c r="B16" s="9" t="s">
        <v>255</v>
      </c>
      <c r="C16" s="9" t="s">
        <v>2620</v>
      </c>
      <c r="D16" s="9" t="s">
        <v>249</v>
      </c>
      <c r="E16" s="9" t="s">
        <v>2621</v>
      </c>
      <c r="F16" s="9" t="s">
        <v>2622</v>
      </c>
      <c r="G16" s="43"/>
      <c r="H16" s="43"/>
      <c r="I16" s="53"/>
      <c r="J16" s="43"/>
      <c r="K16" s="43"/>
    </row>
    <row r="17" customFormat="false" ht="15" hidden="false" customHeight="true" outlineLevel="0" collapsed="false">
      <c r="A17" s="8" t="s">
        <v>2623</v>
      </c>
      <c r="B17" s="9" t="s">
        <v>255</v>
      </c>
      <c r="C17" s="9" t="s">
        <v>2606</v>
      </c>
      <c r="D17" s="9" t="s">
        <v>249</v>
      </c>
      <c r="E17" s="9" t="s">
        <v>2624</v>
      </c>
      <c r="F17" s="9" t="s">
        <v>37</v>
      </c>
      <c r="G17" s="43"/>
      <c r="H17" s="43"/>
      <c r="I17" s="53"/>
      <c r="J17" s="43"/>
      <c r="K17" s="43"/>
    </row>
    <row r="18" customFormat="false" ht="23.25" hidden="false" customHeight="true" outlineLevel="0" collapsed="false">
      <c r="A18" s="8" t="s">
        <v>2625</v>
      </c>
      <c r="B18" s="9" t="s">
        <v>274</v>
      </c>
      <c r="C18" s="9" t="s">
        <v>2626</v>
      </c>
      <c r="D18" s="9" t="s">
        <v>249</v>
      </c>
      <c r="E18" s="9" t="s">
        <v>2627</v>
      </c>
      <c r="F18" s="9" t="s">
        <v>2628</v>
      </c>
      <c r="G18" s="43"/>
      <c r="H18" s="43"/>
      <c r="I18" s="53"/>
      <c r="J18" s="43"/>
      <c r="K18" s="43"/>
    </row>
    <row r="19" customFormat="false" ht="15" hidden="false" customHeight="true" outlineLevel="0" collapsed="false">
      <c r="A19" s="8" t="s">
        <v>2629</v>
      </c>
      <c r="B19" s="9" t="s">
        <v>274</v>
      </c>
      <c r="C19" s="9" t="s">
        <v>2630</v>
      </c>
      <c r="D19" s="9" t="s">
        <v>249</v>
      </c>
      <c r="E19" s="9" t="s">
        <v>2631</v>
      </c>
      <c r="F19" s="9" t="s">
        <v>37</v>
      </c>
      <c r="G19" s="43"/>
      <c r="H19" s="43"/>
      <c r="I19" s="53"/>
      <c r="J19" s="43"/>
      <c r="K19" s="43"/>
    </row>
    <row r="20" customFormat="false" ht="15" hidden="false" customHeight="true" outlineLevel="0" collapsed="false">
      <c r="A20" s="8" t="s">
        <v>2632</v>
      </c>
      <c r="B20" s="9" t="s">
        <v>283</v>
      </c>
      <c r="C20" s="9" t="s">
        <v>2633</v>
      </c>
      <c r="D20" s="9" t="s">
        <v>249</v>
      </c>
      <c r="E20" s="9" t="s">
        <v>2634</v>
      </c>
      <c r="F20" s="9" t="s">
        <v>37</v>
      </c>
      <c r="G20" s="43"/>
      <c r="H20" s="43"/>
      <c r="I20" s="53"/>
      <c r="J20" s="43"/>
      <c r="K20" s="43"/>
    </row>
    <row r="21" customFormat="false" ht="15" hidden="false" customHeight="true" outlineLevel="0" collapsed="false">
      <c r="A21" s="8" t="s">
        <v>2635</v>
      </c>
      <c r="B21" s="9" t="s">
        <v>283</v>
      </c>
      <c r="C21" s="9" t="s">
        <v>2606</v>
      </c>
      <c r="D21" s="9" t="s">
        <v>249</v>
      </c>
      <c r="E21" s="9" t="s">
        <v>2636</v>
      </c>
      <c r="F21" s="9" t="s">
        <v>37</v>
      </c>
      <c r="G21" s="43"/>
      <c r="H21" s="43"/>
      <c r="I21" s="53"/>
      <c r="J21" s="43"/>
      <c r="K21" s="43"/>
    </row>
    <row r="22" customFormat="false" ht="15" hidden="false" customHeight="true" outlineLevel="0" collapsed="false">
      <c r="A22" s="8" t="s">
        <v>2637</v>
      </c>
      <c r="B22" s="9" t="s">
        <v>1414</v>
      </c>
      <c r="C22" s="9" t="s">
        <v>2638</v>
      </c>
      <c r="D22" s="9" t="s">
        <v>249</v>
      </c>
      <c r="E22" s="9" t="s">
        <v>1424</v>
      </c>
      <c r="F22" s="9" t="s">
        <v>37</v>
      </c>
      <c r="G22" s="43"/>
      <c r="H22" s="43"/>
      <c r="I22" s="53"/>
      <c r="J22" s="43"/>
      <c r="K22" s="43"/>
    </row>
    <row r="23" customFormat="false" ht="15" hidden="false" customHeight="true" outlineLevel="0" collapsed="false">
      <c r="A23" s="8" t="s">
        <v>2639</v>
      </c>
      <c r="B23" s="9" t="s">
        <v>1414</v>
      </c>
      <c r="C23" s="9" t="s">
        <v>2640</v>
      </c>
      <c r="D23" s="9" t="s">
        <v>249</v>
      </c>
      <c r="E23" s="9" t="s">
        <v>2641</v>
      </c>
      <c r="F23" s="9" t="s">
        <v>37</v>
      </c>
      <c r="G23" s="43"/>
      <c r="H23" s="43"/>
      <c r="I23" s="53"/>
      <c r="J23" s="43"/>
      <c r="K23" s="43"/>
    </row>
    <row r="24" customFormat="false" ht="23.25" hidden="false" customHeight="true" outlineLevel="0" collapsed="false">
      <c r="A24" s="8" t="s">
        <v>2642</v>
      </c>
      <c r="B24" s="9" t="s">
        <v>1414</v>
      </c>
      <c r="C24" s="9" t="s">
        <v>2640</v>
      </c>
      <c r="D24" s="9" t="s">
        <v>249</v>
      </c>
      <c r="E24" s="9" t="s">
        <v>2643</v>
      </c>
      <c r="F24" s="9" t="s">
        <v>37</v>
      </c>
      <c r="G24" s="43"/>
      <c r="H24" s="43"/>
      <c r="I24" s="53"/>
      <c r="J24" s="43"/>
      <c r="K24" s="43"/>
    </row>
    <row r="25" customFormat="false" ht="23.25" hidden="false" customHeight="true" outlineLevel="0" collapsed="false">
      <c r="A25" s="8" t="s">
        <v>2644</v>
      </c>
      <c r="B25" s="9" t="s">
        <v>278</v>
      </c>
      <c r="C25" s="9" t="s">
        <v>2645</v>
      </c>
      <c r="D25" s="9" t="s">
        <v>249</v>
      </c>
      <c r="E25" s="9" t="s">
        <v>2646</v>
      </c>
      <c r="F25" s="9" t="s">
        <v>2647</v>
      </c>
      <c r="G25" s="43"/>
      <c r="H25" s="43"/>
      <c r="I25" s="53"/>
      <c r="J25" s="43"/>
      <c r="K25" s="43"/>
    </row>
    <row r="26" customFormat="false" ht="15" hidden="false" customHeight="true" outlineLevel="0" collapsed="false">
      <c r="A26" s="8" t="s">
        <v>2648</v>
      </c>
      <c r="B26" s="9" t="s">
        <v>278</v>
      </c>
      <c r="C26" s="9" t="s">
        <v>2645</v>
      </c>
      <c r="D26" s="9" t="s">
        <v>249</v>
      </c>
      <c r="E26" s="9" t="s">
        <v>2649</v>
      </c>
      <c r="F26" s="9" t="s">
        <v>37</v>
      </c>
      <c r="G26" s="43"/>
      <c r="H26" s="43"/>
      <c r="I26" s="53"/>
      <c r="J26" s="43"/>
      <c r="K26" s="43"/>
    </row>
    <row r="27" customFormat="false" ht="15" hidden="false" customHeight="true" outlineLevel="0" collapsed="false">
      <c r="A27" s="8" t="s">
        <v>2650</v>
      </c>
      <c r="B27" s="9" t="s">
        <v>296</v>
      </c>
      <c r="C27" s="9" t="s">
        <v>2651</v>
      </c>
      <c r="D27" s="9" t="s">
        <v>249</v>
      </c>
      <c r="E27" s="9" t="s">
        <v>2652</v>
      </c>
      <c r="F27" s="9" t="s">
        <v>37</v>
      </c>
      <c r="G27" s="43"/>
      <c r="H27" s="43"/>
      <c r="I27" s="53"/>
      <c r="J27" s="43"/>
      <c r="K27" s="43"/>
    </row>
    <row r="28" customFormat="false" ht="15" hidden="false" customHeight="true" outlineLevel="0" collapsed="false">
      <c r="A28" s="8" t="s">
        <v>2653</v>
      </c>
      <c r="B28" s="9" t="s">
        <v>2654</v>
      </c>
      <c r="C28" s="9" t="s">
        <v>2655</v>
      </c>
      <c r="D28" s="9" t="s">
        <v>249</v>
      </c>
      <c r="E28" s="9" t="s">
        <v>2656</v>
      </c>
      <c r="F28" s="9" t="s">
        <v>37</v>
      </c>
      <c r="G28" s="43"/>
      <c r="H28" s="43"/>
      <c r="I28" s="53"/>
      <c r="J28" s="43"/>
      <c r="K28" s="43"/>
    </row>
    <row r="29" customFormat="false" ht="15" hidden="false" customHeight="true" outlineLevel="0" collapsed="false">
      <c r="A29" s="8" t="s">
        <v>2657</v>
      </c>
      <c r="B29" s="9" t="s">
        <v>286</v>
      </c>
      <c r="C29" s="9" t="s">
        <v>2658</v>
      </c>
      <c r="D29" s="9" t="s">
        <v>249</v>
      </c>
      <c r="E29" s="9" t="s">
        <v>2659</v>
      </c>
      <c r="F29" s="9" t="s">
        <v>2660</v>
      </c>
      <c r="G29" s="43"/>
      <c r="H29" s="43"/>
      <c r="I29" s="53"/>
      <c r="J29" s="43"/>
      <c r="K29" s="43"/>
    </row>
    <row r="30" customFormat="false" ht="15" hidden="false" customHeight="true" outlineLevel="0" collapsed="false">
      <c r="A30" s="8" t="s">
        <v>2661</v>
      </c>
      <c r="B30" s="9" t="s">
        <v>286</v>
      </c>
      <c r="C30" s="9" t="s">
        <v>2662</v>
      </c>
      <c r="D30" s="9" t="s">
        <v>249</v>
      </c>
      <c r="E30" s="9"/>
      <c r="F30" s="9" t="s">
        <v>37</v>
      </c>
      <c r="G30" s="43"/>
      <c r="H30" s="43"/>
      <c r="I30" s="53"/>
      <c r="J30" s="43"/>
      <c r="K30" s="43"/>
    </row>
    <row r="31" customFormat="false" ht="15" hidden="false" customHeight="true" outlineLevel="0" collapsed="false">
      <c r="A31" s="8" t="s">
        <v>2663</v>
      </c>
      <c r="B31" s="9" t="s">
        <v>286</v>
      </c>
      <c r="C31" s="9" t="s">
        <v>2664</v>
      </c>
      <c r="D31" s="9" t="s">
        <v>2596</v>
      </c>
      <c r="E31" s="9" t="s">
        <v>2665</v>
      </c>
      <c r="F31" s="9" t="s">
        <v>37</v>
      </c>
      <c r="G31" s="43"/>
      <c r="H31" s="43"/>
      <c r="I31" s="53"/>
      <c r="J31" s="43"/>
      <c r="K31" s="43"/>
    </row>
    <row r="32" customFormat="false" ht="23.25" hidden="false" customHeight="true" outlineLevel="0" collapsed="false">
      <c r="A32" s="8" t="s">
        <v>2666</v>
      </c>
      <c r="B32" s="9" t="s">
        <v>1347</v>
      </c>
      <c r="C32" s="9" t="s">
        <v>2667</v>
      </c>
      <c r="D32" s="9" t="s">
        <v>249</v>
      </c>
      <c r="E32" s="9" t="s">
        <v>2668</v>
      </c>
      <c r="F32" s="9" t="s">
        <v>37</v>
      </c>
      <c r="G32" s="43"/>
      <c r="H32" s="43"/>
      <c r="I32" s="53"/>
      <c r="J32" s="43"/>
      <c r="K32" s="43"/>
    </row>
    <row r="33" customFormat="false" ht="15" hidden="false" customHeight="true" outlineLevel="0" collapsed="false">
      <c r="A33" s="8" t="s">
        <v>2669</v>
      </c>
      <c r="B33" s="9" t="s">
        <v>1347</v>
      </c>
      <c r="C33" s="9" t="s">
        <v>2670</v>
      </c>
      <c r="D33" s="9" t="s">
        <v>249</v>
      </c>
      <c r="E33" s="9" t="s">
        <v>2671</v>
      </c>
      <c r="F33" s="9" t="s">
        <v>37</v>
      </c>
      <c r="G33" s="43"/>
      <c r="H33" s="43"/>
      <c r="I33" s="53"/>
      <c r="J33" s="43"/>
      <c r="K33" s="43"/>
    </row>
    <row r="34" customFormat="false" ht="15" hidden="false" customHeight="true" outlineLevel="0" collapsed="false">
      <c r="A34" s="8" t="s">
        <v>2672</v>
      </c>
      <c r="B34" s="9" t="s">
        <v>1347</v>
      </c>
      <c r="C34" s="9" t="s">
        <v>2673</v>
      </c>
      <c r="D34" s="9" t="s">
        <v>249</v>
      </c>
      <c r="E34" s="9" t="s">
        <v>2604</v>
      </c>
      <c r="F34" s="9" t="s">
        <v>37</v>
      </c>
      <c r="G34" s="43"/>
      <c r="H34" s="43"/>
      <c r="I34" s="53"/>
      <c r="J34" s="43"/>
      <c r="K34" s="43"/>
    </row>
    <row r="35" customFormat="false" ht="15" hidden="false" customHeight="true" outlineLevel="0" collapsed="false">
      <c r="A35" s="8" t="s">
        <v>1738</v>
      </c>
      <c r="B35" s="9" t="s">
        <v>1367</v>
      </c>
      <c r="C35" s="9" t="s">
        <v>2674</v>
      </c>
      <c r="D35" s="9" t="s">
        <v>249</v>
      </c>
      <c r="E35" s="9" t="s">
        <v>2675</v>
      </c>
      <c r="F35" s="9" t="s">
        <v>37</v>
      </c>
      <c r="G35" s="43"/>
      <c r="H35" s="43"/>
      <c r="I35" s="53"/>
      <c r="J35" s="43"/>
      <c r="K35" s="43"/>
    </row>
    <row r="36" customFormat="false" ht="15" hidden="false" customHeight="true" outlineLevel="0" collapsed="false">
      <c r="A36" s="8" t="s">
        <v>2676</v>
      </c>
      <c r="B36" s="9" t="s">
        <v>1367</v>
      </c>
      <c r="C36" s="9" t="s">
        <v>2677</v>
      </c>
      <c r="D36" s="9" t="s">
        <v>2596</v>
      </c>
      <c r="E36" s="9" t="s">
        <v>2678</v>
      </c>
      <c r="F36" s="9" t="s">
        <v>37</v>
      </c>
      <c r="G36" s="43"/>
      <c r="H36" s="43"/>
      <c r="I36" s="53"/>
      <c r="J36" s="43"/>
      <c r="K36" s="43"/>
    </row>
    <row r="37" customFormat="false" ht="23.25" hidden="false" customHeight="true" outlineLevel="0" collapsed="false">
      <c r="A37" s="8" t="s">
        <v>2679</v>
      </c>
      <c r="B37" s="9" t="s">
        <v>1394</v>
      </c>
      <c r="C37" s="9" t="s">
        <v>2680</v>
      </c>
      <c r="D37" s="9" t="s">
        <v>249</v>
      </c>
      <c r="E37" s="9" t="s">
        <v>2681</v>
      </c>
      <c r="F37" s="9" t="s">
        <v>2682</v>
      </c>
      <c r="G37" s="43"/>
      <c r="H37" s="43"/>
      <c r="I37" s="53"/>
      <c r="J37" s="43"/>
      <c r="K37" s="43"/>
    </row>
    <row r="38" customFormat="false" ht="15" hidden="false" customHeight="true" outlineLevel="0" collapsed="false">
      <c r="A38" s="8" t="s">
        <v>2683</v>
      </c>
      <c r="B38" s="9" t="s">
        <v>1394</v>
      </c>
      <c r="C38" s="9" t="s">
        <v>2630</v>
      </c>
      <c r="D38" s="9" t="s">
        <v>249</v>
      </c>
      <c r="E38" s="9" t="s">
        <v>2684</v>
      </c>
      <c r="F38" s="9" t="s">
        <v>37</v>
      </c>
      <c r="G38" s="43"/>
      <c r="H38" s="43"/>
      <c r="I38" s="53"/>
      <c r="J38" s="43"/>
      <c r="K38" s="43"/>
    </row>
    <row r="39" customFormat="false" ht="23.25" hidden="false" customHeight="true" outlineLevel="0" collapsed="false">
      <c r="A39" s="8" t="s">
        <v>1734</v>
      </c>
      <c r="B39" s="9" t="s">
        <v>1358</v>
      </c>
      <c r="C39" s="9" t="s">
        <v>2685</v>
      </c>
      <c r="D39" s="9" t="s">
        <v>249</v>
      </c>
      <c r="E39" s="9" t="s">
        <v>2686</v>
      </c>
      <c r="F39" s="9" t="s">
        <v>2687</v>
      </c>
      <c r="G39" s="43"/>
      <c r="H39" s="43"/>
      <c r="I39" s="53"/>
      <c r="J39" s="43"/>
      <c r="K39" s="43"/>
    </row>
    <row r="40" customFormat="false" ht="23.25" hidden="false" customHeight="true" outlineLevel="0" collapsed="false">
      <c r="A40" s="8" t="s">
        <v>2688</v>
      </c>
      <c r="B40" s="9" t="s">
        <v>367</v>
      </c>
      <c r="C40" s="9" t="s">
        <v>2689</v>
      </c>
      <c r="D40" s="9" t="s">
        <v>249</v>
      </c>
      <c r="E40" s="9" t="s">
        <v>2690</v>
      </c>
      <c r="F40" s="9" t="s">
        <v>2691</v>
      </c>
      <c r="G40" s="43"/>
      <c r="H40" s="43"/>
      <c r="I40" s="53"/>
      <c r="J40" s="43"/>
      <c r="K40" s="43"/>
    </row>
    <row r="41" customFormat="false" ht="15" hidden="false" customHeight="true" outlineLevel="0" collapsed="false">
      <c r="A41" s="8" t="s">
        <v>2692</v>
      </c>
      <c r="B41" s="9" t="s">
        <v>367</v>
      </c>
      <c r="C41" s="9" t="s">
        <v>2640</v>
      </c>
      <c r="D41" s="9" t="s">
        <v>249</v>
      </c>
      <c r="E41" s="9" t="s">
        <v>2693</v>
      </c>
      <c r="F41" s="9" t="s">
        <v>37</v>
      </c>
      <c r="G41" s="43"/>
      <c r="H41" s="43"/>
      <c r="I41" s="53"/>
      <c r="J41" s="43"/>
      <c r="K41" s="43"/>
    </row>
    <row r="42" customFormat="false" ht="15" hidden="false" customHeight="true" outlineLevel="0" collapsed="false">
      <c r="A42" s="8" t="s">
        <v>2694</v>
      </c>
      <c r="B42" s="9" t="s">
        <v>367</v>
      </c>
      <c r="C42" s="9" t="s">
        <v>2640</v>
      </c>
      <c r="D42" s="9" t="s">
        <v>249</v>
      </c>
      <c r="E42" s="9" t="s">
        <v>2695</v>
      </c>
      <c r="F42" s="9" t="s">
        <v>37</v>
      </c>
      <c r="G42" s="43"/>
      <c r="H42" s="43"/>
      <c r="I42" s="53"/>
      <c r="J42" s="43"/>
      <c r="K42" s="43"/>
    </row>
    <row r="43" customFormat="false" ht="15" hidden="false" customHeight="true" outlineLevel="0" collapsed="false">
      <c r="A43" s="8" t="s">
        <v>2696</v>
      </c>
      <c r="B43" s="9" t="s">
        <v>367</v>
      </c>
      <c r="C43" s="9" t="s">
        <v>2697</v>
      </c>
      <c r="D43" s="9" t="s">
        <v>249</v>
      </c>
      <c r="E43" s="9" t="s">
        <v>2695</v>
      </c>
      <c r="F43" s="9" t="s">
        <v>37</v>
      </c>
      <c r="G43" s="43"/>
      <c r="H43" s="43"/>
      <c r="I43" s="53"/>
      <c r="J43" s="43"/>
      <c r="K43" s="43"/>
    </row>
    <row r="44" customFormat="false" ht="23.25" hidden="false" customHeight="true" outlineLevel="0" collapsed="false">
      <c r="A44" s="8" t="s">
        <v>2698</v>
      </c>
      <c r="B44" s="9" t="s">
        <v>299</v>
      </c>
      <c r="C44" s="9" t="s">
        <v>2699</v>
      </c>
      <c r="D44" s="9" t="s">
        <v>249</v>
      </c>
      <c r="E44" s="9" t="s">
        <v>2700</v>
      </c>
      <c r="F44" s="9" t="s">
        <v>2701</v>
      </c>
      <c r="G44" s="43"/>
      <c r="H44" s="43"/>
      <c r="I44" s="53"/>
      <c r="J44" s="43"/>
      <c r="K44" s="43"/>
    </row>
    <row r="45" customFormat="false" ht="15" hidden="false" customHeight="true" outlineLevel="0" collapsed="false">
      <c r="A45" s="8" t="s">
        <v>2702</v>
      </c>
      <c r="B45" s="9" t="s">
        <v>299</v>
      </c>
      <c r="C45" s="9" t="s">
        <v>2606</v>
      </c>
      <c r="D45" s="9" t="s">
        <v>249</v>
      </c>
      <c r="E45" s="9" t="s">
        <v>2703</v>
      </c>
      <c r="F45" s="9" t="s">
        <v>2704</v>
      </c>
      <c r="G45" s="43"/>
      <c r="H45" s="43"/>
      <c r="I45" s="53"/>
      <c r="J45" s="43"/>
      <c r="K45" s="43"/>
    </row>
    <row r="46" customFormat="false" ht="15" hidden="false" customHeight="true" outlineLevel="0" collapsed="false">
      <c r="A46" s="8" t="s">
        <v>1824</v>
      </c>
      <c r="B46" s="9" t="s">
        <v>1127</v>
      </c>
      <c r="C46" s="9" t="s">
        <v>2705</v>
      </c>
      <c r="D46" s="9" t="s">
        <v>2596</v>
      </c>
      <c r="E46" s="9" t="s">
        <v>2706</v>
      </c>
      <c r="F46" s="9" t="s">
        <v>37</v>
      </c>
      <c r="G46" s="43"/>
      <c r="H46" s="43"/>
      <c r="I46" s="53"/>
      <c r="J46" s="43"/>
      <c r="K46" s="43"/>
    </row>
    <row r="47" customFormat="false" ht="15" hidden="false" customHeight="true" outlineLevel="0" collapsed="false">
      <c r="A47" s="8" t="s">
        <v>1829</v>
      </c>
      <c r="B47" s="9" t="s">
        <v>2707</v>
      </c>
      <c r="C47" s="9" t="s">
        <v>2708</v>
      </c>
      <c r="D47" s="9" t="s">
        <v>2596</v>
      </c>
      <c r="E47" s="9" t="s">
        <v>2709</v>
      </c>
      <c r="F47" s="9" t="s">
        <v>37</v>
      </c>
      <c r="G47" s="43"/>
      <c r="H47" s="43"/>
      <c r="I47" s="53"/>
      <c r="J47" s="43"/>
      <c r="K47" s="43"/>
    </row>
    <row r="48" customFormat="false" ht="23.25" hidden="false" customHeight="true" outlineLevel="0" collapsed="false">
      <c r="A48" s="8" t="s">
        <v>1836</v>
      </c>
      <c r="B48" s="9" t="s">
        <v>1560</v>
      </c>
      <c r="C48" s="9" t="s">
        <v>2710</v>
      </c>
      <c r="D48" s="9" t="s">
        <v>2596</v>
      </c>
      <c r="E48" s="9" t="s">
        <v>2711</v>
      </c>
      <c r="F48" s="9" t="s">
        <v>37</v>
      </c>
      <c r="G48" s="43"/>
      <c r="H48" s="43"/>
      <c r="I48" s="53"/>
      <c r="J48" s="43"/>
      <c r="K48" s="43"/>
    </row>
    <row r="49" customFormat="false" ht="15" hidden="false" customHeight="true" outlineLevel="0" collapsed="false">
      <c r="A49" s="8" t="s">
        <v>1594</v>
      </c>
      <c r="B49" s="9" t="s">
        <v>1591</v>
      </c>
      <c r="C49" s="9" t="s">
        <v>2712</v>
      </c>
      <c r="D49" s="9" t="s">
        <v>249</v>
      </c>
      <c r="E49" s="9" t="s">
        <v>2713</v>
      </c>
      <c r="F49" s="9" t="s">
        <v>37</v>
      </c>
      <c r="G49" s="43"/>
      <c r="H49" s="43"/>
      <c r="I49" s="53"/>
      <c r="J49" s="43"/>
      <c r="K49" s="43"/>
    </row>
    <row r="50" customFormat="false" ht="15" hidden="false" customHeight="true" outlineLevel="0" collapsed="false">
      <c r="A50" s="8" t="s">
        <v>1604</v>
      </c>
      <c r="B50" s="9" t="s">
        <v>2714</v>
      </c>
      <c r="C50" s="9" t="s">
        <v>2715</v>
      </c>
      <c r="D50" s="9" t="s">
        <v>249</v>
      </c>
      <c r="E50" s="9" t="s">
        <v>2716</v>
      </c>
      <c r="F50" s="9" t="s">
        <v>37</v>
      </c>
      <c r="G50" s="43"/>
      <c r="H50" s="43"/>
      <c r="I50" s="53"/>
      <c r="J50" s="43"/>
      <c r="K50" s="43"/>
    </row>
    <row r="51" customFormat="false" ht="15" hidden="false" customHeight="true" outlineLevel="0" collapsed="false">
      <c r="A51" s="8" t="s">
        <v>2717</v>
      </c>
      <c r="B51" s="9" t="s">
        <v>1626</v>
      </c>
      <c r="C51" s="9" t="s">
        <v>2718</v>
      </c>
      <c r="D51" s="9" t="s">
        <v>249</v>
      </c>
      <c r="E51" s="9" t="s">
        <v>2719</v>
      </c>
      <c r="F51" s="9" t="s">
        <v>37</v>
      </c>
      <c r="G51" s="43"/>
      <c r="H51" s="43"/>
      <c r="I51" s="53"/>
      <c r="J51" s="43"/>
      <c r="K51" s="43"/>
    </row>
    <row r="52" customFormat="false" ht="15" hidden="false" customHeight="true" outlineLevel="0" collapsed="false">
      <c r="A52" s="8" t="s">
        <v>2720</v>
      </c>
      <c r="B52" s="9" t="s">
        <v>1644</v>
      </c>
      <c r="C52" s="9" t="s">
        <v>2721</v>
      </c>
      <c r="D52" s="9" t="s">
        <v>2596</v>
      </c>
      <c r="E52" s="9" t="s">
        <v>2722</v>
      </c>
      <c r="F52" s="9" t="s">
        <v>37</v>
      </c>
      <c r="G52" s="43"/>
      <c r="H52" s="43"/>
      <c r="I52" s="53"/>
      <c r="J52" s="43"/>
      <c r="K52" s="43"/>
    </row>
    <row r="53" customFormat="false" ht="15" hidden="false" customHeight="true" outlineLevel="0" collapsed="false">
      <c r="A53" s="8" t="s">
        <v>1759</v>
      </c>
      <c r="B53" s="9" t="s">
        <v>1404</v>
      </c>
      <c r="C53" s="9" t="s">
        <v>2723</v>
      </c>
      <c r="D53" s="9" t="s">
        <v>249</v>
      </c>
      <c r="E53" s="9" t="s">
        <v>2724</v>
      </c>
      <c r="F53" s="9" t="s">
        <v>37</v>
      </c>
      <c r="G53" s="43"/>
      <c r="H53" s="43"/>
      <c r="I53" s="53"/>
      <c r="J53" s="43"/>
      <c r="K53" s="43"/>
    </row>
    <row r="54" customFormat="false" ht="15" hidden="false" customHeight="true" outlineLevel="0" collapsed="false">
      <c r="A54" s="8" t="s">
        <v>1843</v>
      </c>
      <c r="B54" s="9" t="s">
        <v>1579</v>
      </c>
      <c r="C54" s="9" t="s">
        <v>2725</v>
      </c>
      <c r="D54" s="9" t="s">
        <v>249</v>
      </c>
      <c r="E54" s="9" t="s">
        <v>2726</v>
      </c>
      <c r="F54" s="9" t="s">
        <v>37</v>
      </c>
      <c r="G54" s="43"/>
      <c r="H54" s="43"/>
      <c r="I54" s="53"/>
      <c r="J54" s="43"/>
      <c r="K54" s="43"/>
    </row>
    <row r="55" customFormat="false" ht="15" hidden="false" customHeight="true" outlineLevel="0" collapsed="false">
      <c r="A55" s="8" t="s">
        <v>1638</v>
      </c>
      <c r="B55" s="9" t="s">
        <v>1634</v>
      </c>
      <c r="C55" s="9" t="s">
        <v>2723</v>
      </c>
      <c r="D55" s="9" t="s">
        <v>249</v>
      </c>
      <c r="E55" s="9" t="s">
        <v>2727</v>
      </c>
      <c r="F55" s="9" t="s">
        <v>2728</v>
      </c>
      <c r="G55" s="43"/>
      <c r="H55" s="43"/>
      <c r="I55" s="53"/>
      <c r="J55" s="43"/>
      <c r="K55" s="43"/>
    </row>
    <row r="56" customFormat="false" ht="15" hidden="false" customHeight="true" outlineLevel="0" collapsed="false">
      <c r="A56" s="8" t="s">
        <v>2729</v>
      </c>
      <c r="B56" s="9" t="s">
        <v>60</v>
      </c>
      <c r="C56" s="9" t="s">
        <v>2730</v>
      </c>
      <c r="D56" s="9" t="s">
        <v>19</v>
      </c>
      <c r="E56" s="9" t="s">
        <v>2731</v>
      </c>
      <c r="F56" s="9" t="s">
        <v>37</v>
      </c>
      <c r="G56" s="43"/>
      <c r="H56" s="43"/>
      <c r="I56" s="53"/>
      <c r="J56" s="43"/>
      <c r="K56" s="43"/>
    </row>
    <row r="57" customFormat="false" ht="15" hidden="false" customHeight="true" outlineLevel="0" collapsed="false">
      <c r="A57" s="8" t="s">
        <v>2732</v>
      </c>
      <c r="B57" s="9" t="s">
        <v>79</v>
      </c>
      <c r="C57" s="9" t="s">
        <v>2733</v>
      </c>
      <c r="D57" s="9" t="s">
        <v>19</v>
      </c>
      <c r="E57" s="9" t="s">
        <v>2734</v>
      </c>
      <c r="F57" s="9" t="s">
        <v>2735</v>
      </c>
      <c r="G57" s="43"/>
      <c r="H57" s="43"/>
      <c r="I57" s="53"/>
      <c r="J57" s="43"/>
      <c r="K57" s="43"/>
    </row>
    <row r="58" customFormat="false" ht="15" hidden="false" customHeight="true" outlineLevel="0" collapsed="false">
      <c r="A58" s="8" t="s">
        <v>2736</v>
      </c>
      <c r="B58" s="9" t="s">
        <v>70</v>
      </c>
      <c r="C58" s="9" t="s">
        <v>2730</v>
      </c>
      <c r="D58" s="9" t="s">
        <v>19</v>
      </c>
      <c r="E58" s="9" t="s">
        <v>2737</v>
      </c>
      <c r="F58" s="9" t="s">
        <v>37</v>
      </c>
      <c r="G58" s="43"/>
      <c r="H58" s="43"/>
      <c r="I58" s="53"/>
      <c r="J58" s="43"/>
      <c r="K58" s="43"/>
    </row>
    <row r="59" customFormat="false" ht="23.25" hidden="false" customHeight="true" outlineLevel="0" collapsed="false">
      <c r="A59" s="8" t="s">
        <v>2738</v>
      </c>
      <c r="B59" s="9" t="s">
        <v>54</v>
      </c>
      <c r="C59" s="9" t="s">
        <v>2739</v>
      </c>
      <c r="D59" s="9" t="s">
        <v>2596</v>
      </c>
      <c r="E59" s="9" t="s">
        <v>2740</v>
      </c>
      <c r="F59" s="9" t="s">
        <v>37</v>
      </c>
      <c r="G59" s="43"/>
      <c r="H59" s="43"/>
      <c r="I59" s="53"/>
      <c r="J59" s="43"/>
      <c r="K59" s="43"/>
    </row>
    <row r="60" customFormat="false" ht="15" hidden="false" customHeight="true" outlineLevel="0" collapsed="false">
      <c r="A60" s="8" t="s">
        <v>2741</v>
      </c>
      <c r="B60" s="9" t="s">
        <v>117</v>
      </c>
      <c r="C60" s="9" t="s">
        <v>2742</v>
      </c>
      <c r="D60" s="9" t="s">
        <v>118</v>
      </c>
      <c r="E60" s="9" t="s">
        <v>2743</v>
      </c>
      <c r="F60" s="9" t="s">
        <v>37</v>
      </c>
      <c r="G60" s="43"/>
      <c r="H60" s="43"/>
      <c r="I60" s="53"/>
      <c r="J60" s="43"/>
      <c r="K60" s="43"/>
    </row>
    <row r="61" customFormat="false" ht="15" hidden="false" customHeight="true" outlineLevel="0" collapsed="false">
      <c r="A61" s="8" t="s">
        <v>2744</v>
      </c>
      <c r="B61" s="9" t="s">
        <v>117</v>
      </c>
      <c r="C61" s="9" t="s">
        <v>2742</v>
      </c>
      <c r="D61" s="9" t="s">
        <v>118</v>
      </c>
      <c r="E61" s="9"/>
      <c r="F61" s="9" t="s">
        <v>37</v>
      </c>
      <c r="G61" s="43"/>
      <c r="H61" s="43"/>
      <c r="I61" s="53"/>
      <c r="J61" s="43"/>
      <c r="K61" s="43"/>
    </row>
    <row r="62" customFormat="false" ht="23.25" hidden="false" customHeight="true" outlineLevel="0" collapsed="false">
      <c r="A62" s="8" t="s">
        <v>2745</v>
      </c>
      <c r="B62" s="9" t="s">
        <v>168</v>
      </c>
      <c r="C62" s="9" t="s">
        <v>2746</v>
      </c>
      <c r="D62" s="9" t="s">
        <v>118</v>
      </c>
      <c r="E62" s="9" t="s">
        <v>2747</v>
      </c>
      <c r="F62" s="9" t="s">
        <v>2748</v>
      </c>
      <c r="G62" s="43"/>
      <c r="H62" s="43"/>
      <c r="I62" s="53"/>
      <c r="J62" s="43"/>
      <c r="K62" s="43"/>
    </row>
    <row r="63" customFormat="false" ht="15" hidden="false" customHeight="true" outlineLevel="0" collapsed="false">
      <c r="A63" s="8" t="s">
        <v>2749</v>
      </c>
      <c r="B63" s="9" t="s">
        <v>323</v>
      </c>
      <c r="C63" s="9" t="s">
        <v>2750</v>
      </c>
      <c r="D63" s="9" t="s">
        <v>249</v>
      </c>
      <c r="E63" s="9" t="s">
        <v>2751</v>
      </c>
      <c r="F63" s="9" t="s">
        <v>37</v>
      </c>
      <c r="G63" s="43"/>
      <c r="H63" s="43"/>
      <c r="I63" s="53"/>
      <c r="J63" s="43"/>
      <c r="K63" s="43"/>
    </row>
    <row r="64" customFormat="false" ht="39.75" hidden="false" customHeight="true" outlineLevel="0" collapsed="false">
      <c r="A64" s="8" t="s">
        <v>2752</v>
      </c>
      <c r="B64" s="9" t="s">
        <v>323</v>
      </c>
      <c r="C64" s="9" t="s">
        <v>2753</v>
      </c>
      <c r="D64" s="9" t="s">
        <v>249</v>
      </c>
      <c r="E64" s="9" t="s">
        <v>2754</v>
      </c>
      <c r="F64" s="9" t="s">
        <v>37</v>
      </c>
      <c r="G64" s="43"/>
      <c r="H64" s="43"/>
      <c r="I64" s="53"/>
      <c r="J64" s="43"/>
      <c r="K64" s="43"/>
    </row>
    <row r="65" customFormat="false" ht="15" hidden="false" customHeight="true" outlineLevel="0" collapsed="false">
      <c r="A65" s="8" t="s">
        <v>2755</v>
      </c>
      <c r="B65" s="9" t="s">
        <v>329</v>
      </c>
      <c r="C65" s="9" t="s">
        <v>2756</v>
      </c>
      <c r="D65" s="9" t="s">
        <v>249</v>
      </c>
      <c r="E65" s="9" t="s">
        <v>2757</v>
      </c>
      <c r="F65" s="9" t="s">
        <v>37</v>
      </c>
      <c r="G65" s="43"/>
      <c r="H65" s="43"/>
      <c r="I65" s="53"/>
      <c r="J65" s="43"/>
      <c r="K65" s="43"/>
    </row>
    <row r="66" customFormat="false" ht="15" hidden="false" customHeight="true" outlineLevel="0" collapsed="false">
      <c r="A66" s="8" t="s">
        <v>2758</v>
      </c>
      <c r="B66" s="9" t="s">
        <v>332</v>
      </c>
      <c r="C66" s="9" t="s">
        <v>2759</v>
      </c>
      <c r="D66" s="9" t="s">
        <v>249</v>
      </c>
      <c r="E66" s="9" t="s">
        <v>2760</v>
      </c>
      <c r="F66" s="9" t="s">
        <v>37</v>
      </c>
      <c r="G66" s="43"/>
      <c r="H66" s="43"/>
      <c r="I66" s="53"/>
      <c r="J66" s="43"/>
      <c r="K66" s="43"/>
    </row>
    <row r="67" customFormat="false" ht="15" hidden="false" customHeight="true" outlineLevel="0" collapsed="false">
      <c r="A67" s="8" t="s">
        <v>2044</v>
      </c>
      <c r="B67" s="9" t="s">
        <v>2761</v>
      </c>
      <c r="C67" s="9" t="s">
        <v>2762</v>
      </c>
      <c r="D67" s="9" t="s">
        <v>249</v>
      </c>
      <c r="E67" s="9" t="s">
        <v>2763</v>
      </c>
      <c r="F67" s="9" t="s">
        <v>37</v>
      </c>
      <c r="G67" s="43"/>
      <c r="H67" s="43"/>
      <c r="I67" s="53"/>
      <c r="J67" s="43"/>
      <c r="K67" s="43"/>
    </row>
    <row r="68" customFormat="false" ht="15" hidden="false" customHeight="true" outlineLevel="0" collapsed="false">
      <c r="A68" s="8" t="s">
        <v>2764</v>
      </c>
      <c r="B68" s="9" t="s">
        <v>2765</v>
      </c>
      <c r="C68" s="9" t="s">
        <v>2766</v>
      </c>
      <c r="D68" s="9" t="s">
        <v>249</v>
      </c>
      <c r="E68" s="9" t="s">
        <v>2767</v>
      </c>
      <c r="F68" s="9" t="s">
        <v>37</v>
      </c>
      <c r="G68" s="43"/>
      <c r="H68" s="43"/>
      <c r="I68" s="53"/>
      <c r="J68" s="43"/>
      <c r="K68" s="43"/>
    </row>
    <row r="69" customFormat="false" ht="15" hidden="false" customHeight="true" outlineLevel="0" collapsed="false">
      <c r="A69" s="8" t="s">
        <v>2768</v>
      </c>
      <c r="B69" s="9" t="s">
        <v>2765</v>
      </c>
      <c r="C69" s="9" t="s">
        <v>2769</v>
      </c>
      <c r="D69" s="9" t="s">
        <v>249</v>
      </c>
      <c r="E69" s="9" t="s">
        <v>2770</v>
      </c>
      <c r="F69" s="9" t="s">
        <v>37</v>
      </c>
      <c r="G69" s="43"/>
      <c r="H69" s="43"/>
      <c r="I69" s="53"/>
      <c r="J69" s="43"/>
      <c r="K69" s="43"/>
    </row>
    <row r="70" customFormat="false" ht="23.25" hidden="false" customHeight="true" outlineLevel="0" collapsed="false">
      <c r="A70" s="8" t="s">
        <v>2771</v>
      </c>
      <c r="B70" s="9" t="s">
        <v>319</v>
      </c>
      <c r="C70" s="9" t="s">
        <v>2772</v>
      </c>
      <c r="D70" s="9" t="s">
        <v>249</v>
      </c>
      <c r="E70" s="9" t="s">
        <v>2773</v>
      </c>
      <c r="F70" s="9" t="s">
        <v>2774</v>
      </c>
      <c r="G70" s="43"/>
      <c r="H70" s="43"/>
      <c r="I70" s="53"/>
      <c r="J70" s="43"/>
      <c r="K70" s="43"/>
    </row>
    <row r="71" customFormat="false" ht="15" hidden="false" customHeight="true" outlineLevel="0" collapsed="false">
      <c r="A71" s="8" t="s">
        <v>2179</v>
      </c>
      <c r="B71" s="9" t="s">
        <v>342</v>
      </c>
      <c r="C71" s="9" t="s">
        <v>2775</v>
      </c>
      <c r="D71" s="9" t="s">
        <v>249</v>
      </c>
      <c r="E71" s="9" t="s">
        <v>2776</v>
      </c>
      <c r="F71" s="9" t="s">
        <v>37</v>
      </c>
      <c r="G71" s="43"/>
      <c r="H71" s="43"/>
      <c r="I71" s="53"/>
      <c r="J71" s="43"/>
      <c r="K71" s="43"/>
    </row>
    <row r="72" customFormat="false" ht="23.25" hidden="false" customHeight="true" outlineLevel="0" collapsed="false">
      <c r="A72" s="8" t="s">
        <v>2777</v>
      </c>
      <c r="B72" s="9" t="s">
        <v>347</v>
      </c>
      <c r="C72" s="9" t="s">
        <v>2778</v>
      </c>
      <c r="D72" s="9" t="s">
        <v>249</v>
      </c>
      <c r="E72" s="9" t="s">
        <v>2779</v>
      </c>
      <c r="F72" s="9" t="s">
        <v>2780</v>
      </c>
      <c r="G72" s="43"/>
      <c r="H72" s="43"/>
      <c r="I72" s="53"/>
      <c r="J72" s="43"/>
      <c r="K72" s="43"/>
    </row>
    <row r="73" customFormat="false" ht="15" hidden="false" customHeight="true" outlineLevel="0" collapsed="false">
      <c r="A73" s="8" t="s">
        <v>2781</v>
      </c>
      <c r="B73" s="9" t="s">
        <v>351</v>
      </c>
      <c r="C73" s="9" t="s">
        <v>2782</v>
      </c>
      <c r="D73" s="9" t="s">
        <v>249</v>
      </c>
      <c r="E73" s="9" t="s">
        <v>2783</v>
      </c>
      <c r="F73" s="9" t="s">
        <v>2784</v>
      </c>
      <c r="G73" s="43"/>
      <c r="H73" s="43"/>
      <c r="I73" s="53"/>
      <c r="J73" s="43"/>
      <c r="K73" s="43"/>
    </row>
    <row r="74" customFormat="false" ht="15" hidden="false" customHeight="true" outlineLevel="0" collapsed="false">
      <c r="A74" s="8" t="s">
        <v>1959</v>
      </c>
      <c r="B74" s="9" t="s">
        <v>357</v>
      </c>
      <c r="C74" s="9" t="s">
        <v>2606</v>
      </c>
      <c r="D74" s="9" t="s">
        <v>249</v>
      </c>
      <c r="E74" s="9" t="s">
        <v>229</v>
      </c>
      <c r="F74" s="9" t="s">
        <v>2785</v>
      </c>
      <c r="G74" s="43"/>
      <c r="H74" s="43"/>
      <c r="I74" s="53"/>
      <c r="J74" s="43"/>
      <c r="K74" s="43"/>
    </row>
    <row r="75" customFormat="false" ht="15" hidden="false" customHeight="true" outlineLevel="0" collapsed="false">
      <c r="A75" s="8" t="s">
        <v>2098</v>
      </c>
      <c r="B75" s="9" t="s">
        <v>361</v>
      </c>
      <c r="C75" s="9" t="s">
        <v>2786</v>
      </c>
      <c r="D75" s="9" t="s">
        <v>249</v>
      </c>
      <c r="E75" s="9" t="s">
        <v>2787</v>
      </c>
      <c r="F75" s="9" t="s">
        <v>37</v>
      </c>
      <c r="G75" s="43"/>
      <c r="H75" s="43"/>
      <c r="I75" s="53"/>
      <c r="J75" s="43"/>
      <c r="K75" s="43"/>
    </row>
    <row r="76" customFormat="false" ht="15" hidden="false" customHeight="true" outlineLevel="0" collapsed="false">
      <c r="A76" s="8" t="s">
        <v>2416</v>
      </c>
      <c r="B76" s="9" t="s">
        <v>174</v>
      </c>
      <c r="C76" s="9" t="s">
        <v>2746</v>
      </c>
      <c r="D76" s="9" t="s">
        <v>118</v>
      </c>
      <c r="E76" s="9" t="s">
        <v>2788</v>
      </c>
      <c r="F76" s="9" t="s">
        <v>37</v>
      </c>
      <c r="G76" s="43"/>
      <c r="H76" s="43"/>
      <c r="I76" s="53"/>
      <c r="J76" s="43"/>
      <c r="K76" s="43"/>
    </row>
    <row r="77" customFormat="false" ht="23.25" hidden="false" customHeight="true" outlineLevel="0" collapsed="false">
      <c r="A77" s="8" t="s">
        <v>2789</v>
      </c>
      <c r="B77" s="9" t="s">
        <v>179</v>
      </c>
      <c r="C77" s="9" t="s">
        <v>2790</v>
      </c>
      <c r="D77" s="9" t="s">
        <v>118</v>
      </c>
      <c r="E77" s="9" t="s">
        <v>2791</v>
      </c>
      <c r="F77" s="9" t="s">
        <v>2792</v>
      </c>
      <c r="G77" s="43"/>
      <c r="H77" s="43"/>
      <c r="I77" s="53"/>
      <c r="J77" s="43"/>
      <c r="K77" s="43"/>
    </row>
    <row r="78" customFormat="false" ht="15" hidden="false" customHeight="true" outlineLevel="0" collapsed="false">
      <c r="A78" s="8" t="s">
        <v>2793</v>
      </c>
      <c r="B78" s="9" t="s">
        <v>184</v>
      </c>
      <c r="C78" s="9" t="s">
        <v>2730</v>
      </c>
      <c r="D78" s="9" t="s">
        <v>118</v>
      </c>
      <c r="E78" s="9" t="s">
        <v>2794</v>
      </c>
      <c r="F78" s="9" t="s">
        <v>2795</v>
      </c>
      <c r="G78" s="43"/>
      <c r="H78" s="43"/>
      <c r="I78" s="53"/>
      <c r="J78" s="43"/>
      <c r="K78" s="43"/>
    </row>
    <row r="79" customFormat="false" ht="15" hidden="false" customHeight="true" outlineLevel="0" collapsed="false">
      <c r="A79" s="8" t="s">
        <v>2796</v>
      </c>
      <c r="B79" s="9" t="s">
        <v>189</v>
      </c>
      <c r="C79" s="9" t="s">
        <v>2708</v>
      </c>
      <c r="D79" s="9" t="s">
        <v>118</v>
      </c>
      <c r="E79" s="9" t="s">
        <v>2797</v>
      </c>
      <c r="F79" s="9" t="s">
        <v>37</v>
      </c>
      <c r="G79" s="43"/>
      <c r="H79" s="43"/>
      <c r="I79" s="53"/>
      <c r="J79" s="43"/>
      <c r="K79" s="43"/>
    </row>
    <row r="80" customFormat="false" ht="15" hidden="false" customHeight="true" outlineLevel="0" collapsed="false">
      <c r="A80" s="8" t="s">
        <v>2798</v>
      </c>
      <c r="B80" s="9" t="s">
        <v>194</v>
      </c>
      <c r="C80" s="9" t="s">
        <v>2799</v>
      </c>
      <c r="D80" s="9" t="s">
        <v>118</v>
      </c>
      <c r="E80" s="9" t="s">
        <v>2649</v>
      </c>
      <c r="F80" s="9" t="s">
        <v>37</v>
      </c>
      <c r="G80" s="43"/>
      <c r="H80" s="43"/>
      <c r="I80" s="53"/>
      <c r="J80" s="43"/>
      <c r="K80" s="43"/>
    </row>
    <row r="81" customFormat="false" ht="15" hidden="false" customHeight="true" outlineLevel="0" collapsed="false">
      <c r="A81" s="8" t="s">
        <v>2800</v>
      </c>
      <c r="B81" s="9" t="s">
        <v>208</v>
      </c>
      <c r="C81" s="9" t="s">
        <v>2730</v>
      </c>
      <c r="D81" s="9" t="s">
        <v>118</v>
      </c>
      <c r="E81" s="9" t="s">
        <v>2801</v>
      </c>
      <c r="F81" s="9" t="s">
        <v>2802</v>
      </c>
      <c r="G81" s="43"/>
      <c r="H81" s="43"/>
      <c r="I81" s="53"/>
      <c r="J81" s="43"/>
      <c r="K81" s="43"/>
    </row>
    <row r="82" customFormat="false" ht="15" hidden="false" customHeight="true" outlineLevel="0" collapsed="false">
      <c r="A82" s="8" t="s">
        <v>2803</v>
      </c>
      <c r="B82" s="9" t="s">
        <v>203</v>
      </c>
      <c r="C82" s="9" t="s">
        <v>2804</v>
      </c>
      <c r="D82" s="9" t="s">
        <v>118</v>
      </c>
      <c r="E82" s="9" t="s">
        <v>2805</v>
      </c>
      <c r="F82" s="9" t="s">
        <v>2806</v>
      </c>
      <c r="G82" s="43"/>
      <c r="H82" s="43"/>
      <c r="I82" s="53"/>
      <c r="J82" s="43"/>
      <c r="K82" s="43"/>
    </row>
    <row r="83" customFormat="false" ht="15" hidden="false" customHeight="false" outlineLevel="0" collapsed="false">
      <c r="A83" s="8" t="s">
        <v>2807</v>
      </c>
      <c r="B83" s="9" t="s">
        <v>2808</v>
      </c>
      <c r="C83" s="9" t="s">
        <v>2809</v>
      </c>
      <c r="D83" s="9" t="s">
        <v>118</v>
      </c>
      <c r="E83" s="9" t="s">
        <v>2810</v>
      </c>
      <c r="F83" s="9" t="s">
        <v>2811</v>
      </c>
      <c r="G83" s="43"/>
      <c r="H83" s="43"/>
      <c r="I83" s="53"/>
      <c r="J83" s="43"/>
      <c r="K83" s="43"/>
    </row>
    <row r="84" customFormat="false" ht="48" hidden="false" customHeight="true" outlineLevel="0" collapsed="false">
      <c r="A84" s="8" t="s">
        <v>2812</v>
      </c>
      <c r="B84" s="9" t="s">
        <v>219</v>
      </c>
      <c r="C84" s="9" t="s">
        <v>2708</v>
      </c>
      <c r="D84" s="9" t="s">
        <v>118</v>
      </c>
      <c r="E84" s="9" t="s">
        <v>2813</v>
      </c>
      <c r="F84" s="9" t="s">
        <v>37</v>
      </c>
      <c r="G84" s="43"/>
      <c r="H84" s="43"/>
      <c r="I84" s="53"/>
      <c r="J84" s="43"/>
      <c r="K84" s="43"/>
    </row>
    <row r="85" customFormat="false" ht="15" hidden="false" customHeight="false" outlineLevel="0" collapsed="false">
      <c r="A85" s="8" t="s">
        <v>2814</v>
      </c>
      <c r="B85" s="9" t="s">
        <v>223</v>
      </c>
      <c r="C85" s="9" t="s">
        <v>2708</v>
      </c>
      <c r="D85" s="9" t="s">
        <v>118</v>
      </c>
      <c r="E85" s="9" t="s">
        <v>2815</v>
      </c>
      <c r="F85" s="9" t="s">
        <v>2816</v>
      </c>
      <c r="G85" s="43"/>
      <c r="H85" s="43"/>
      <c r="I85" s="53"/>
      <c r="J85" s="43"/>
      <c r="K85" s="43"/>
    </row>
    <row r="86" customFormat="false" ht="15" hidden="false" customHeight="false" outlineLevel="0" collapsed="false">
      <c r="A86" s="8" t="s">
        <v>2817</v>
      </c>
      <c r="B86" s="9" t="s">
        <v>227</v>
      </c>
      <c r="C86" s="9" t="s">
        <v>2730</v>
      </c>
      <c r="D86" s="9" t="s">
        <v>118</v>
      </c>
      <c r="E86" s="9" t="s">
        <v>2818</v>
      </c>
      <c r="F86" s="9" t="s">
        <v>37</v>
      </c>
      <c r="G86" s="43"/>
      <c r="H86" s="43"/>
      <c r="I86" s="53"/>
      <c r="J86" s="43"/>
      <c r="K86" s="43"/>
    </row>
    <row r="87" customFormat="false" ht="15" hidden="false" customHeight="false" outlineLevel="0" collapsed="false">
      <c r="A87" s="8" t="s">
        <v>2819</v>
      </c>
      <c r="B87" s="9" t="s">
        <v>231</v>
      </c>
      <c r="C87" s="9" t="s">
        <v>2820</v>
      </c>
      <c r="D87" s="9" t="s">
        <v>118</v>
      </c>
      <c r="E87" s="9" t="s">
        <v>2821</v>
      </c>
      <c r="F87" s="9" t="s">
        <v>2822</v>
      </c>
      <c r="G87" s="43"/>
      <c r="H87" s="43"/>
      <c r="I87" s="53"/>
      <c r="J87" s="43"/>
      <c r="K87" s="43"/>
    </row>
    <row r="88" customFormat="false" ht="15" hidden="false" customHeight="false" outlineLevel="0" collapsed="false">
      <c r="A88" s="8" t="s">
        <v>2823</v>
      </c>
      <c r="B88" s="9" t="s">
        <v>237</v>
      </c>
      <c r="C88" s="9" t="s">
        <v>2708</v>
      </c>
      <c r="D88" s="9" t="s">
        <v>118</v>
      </c>
      <c r="E88" s="9" t="s">
        <v>2797</v>
      </c>
      <c r="F88" s="9" t="s">
        <v>37</v>
      </c>
      <c r="G88" s="43"/>
      <c r="H88" s="43"/>
      <c r="I88" s="53"/>
      <c r="J88" s="43"/>
      <c r="K88" s="43"/>
    </row>
    <row r="89" customFormat="false" ht="15" hidden="false" customHeight="false" outlineLevel="0" collapsed="false">
      <c r="A89" s="8" t="s">
        <v>2824</v>
      </c>
      <c r="B89" s="9" t="s">
        <v>2825</v>
      </c>
      <c r="C89" s="9" t="s">
        <v>2708</v>
      </c>
      <c r="D89" s="9" t="s">
        <v>118</v>
      </c>
      <c r="E89" s="9" t="s">
        <v>2826</v>
      </c>
      <c r="F89" s="9" t="s">
        <v>2827</v>
      </c>
      <c r="G89" s="43"/>
      <c r="H89" s="43"/>
      <c r="I89" s="53"/>
      <c r="J89" s="43"/>
      <c r="K89" s="43"/>
    </row>
    <row r="91" customFormat="false" ht="48" hidden="false" customHeight="true" outlineLevel="0" collapsed="false">
      <c r="A91" s="11" t="s">
        <v>2828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46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18"/>
    <col collapsed="false" customWidth="true" hidden="false" outlineLevel="0" max="8" min="8" style="1" width="36"/>
  </cols>
  <sheetData>
    <row r="1" customFormat="false" ht="24" hidden="false" customHeight="true" outlineLevel="0" collapsed="false">
      <c r="A1" s="12" t="s">
        <v>2829</v>
      </c>
      <c r="B1" s="12"/>
      <c r="C1" s="12"/>
      <c r="D1" s="12"/>
      <c r="E1" s="12"/>
      <c r="F1" s="12"/>
      <c r="G1" s="12"/>
      <c r="H1" s="12"/>
    </row>
    <row r="3" customFormat="false" ht="24" hidden="false" customHeight="true" outlineLevel="0" collapsed="false">
      <c r="A3" s="17" t="s">
        <v>6</v>
      </c>
      <c r="B3" s="17" t="s">
        <v>7</v>
      </c>
      <c r="C3" s="17" t="s">
        <v>2830</v>
      </c>
      <c r="D3" s="17" t="s">
        <v>385</v>
      </c>
      <c r="E3" s="17" t="s">
        <v>2831</v>
      </c>
      <c r="F3" s="17" t="s">
        <v>2832</v>
      </c>
      <c r="G3" s="17" t="s">
        <v>12</v>
      </c>
      <c r="H3" s="17" t="s">
        <v>2833</v>
      </c>
    </row>
    <row r="4" customFormat="false" ht="57.75" hidden="false" customHeight="true" outlineLevel="0" collapsed="false">
      <c r="A4" s="23" t="s">
        <v>18</v>
      </c>
      <c r="B4" s="24" t="s">
        <v>20</v>
      </c>
      <c r="C4" s="25" t="s">
        <v>2834</v>
      </c>
      <c r="D4" s="25" t="s">
        <v>2835</v>
      </c>
      <c r="E4" s="25" t="s">
        <v>2836</v>
      </c>
      <c r="F4" s="25" t="s">
        <v>2837</v>
      </c>
      <c r="G4" s="24" t="s">
        <v>2838</v>
      </c>
      <c r="H4" s="25" t="s">
        <v>2839</v>
      </c>
    </row>
    <row r="5" customFormat="false" ht="57.75" hidden="false" customHeight="true" outlineLevel="0" collapsed="false">
      <c r="A5" s="23" t="s">
        <v>26</v>
      </c>
      <c r="B5" s="24" t="s">
        <v>20</v>
      </c>
      <c r="C5" s="25" t="s">
        <v>2840</v>
      </c>
      <c r="D5" s="25" t="s">
        <v>2841</v>
      </c>
      <c r="E5" s="25" t="s">
        <v>2842</v>
      </c>
      <c r="F5" s="25" t="s">
        <v>404</v>
      </c>
      <c r="G5" s="24" t="s">
        <v>2838</v>
      </c>
      <c r="H5" s="25" t="s">
        <v>2843</v>
      </c>
    </row>
    <row r="6" customFormat="false" ht="57.75" hidden="false" customHeight="true" outlineLevel="0" collapsed="false">
      <c r="A6" s="23" t="s">
        <v>30</v>
      </c>
      <c r="B6" s="24" t="s">
        <v>20</v>
      </c>
      <c r="C6" s="25" t="s">
        <v>2844</v>
      </c>
      <c r="D6" s="25" t="s">
        <v>2845</v>
      </c>
      <c r="E6" s="25" t="s">
        <v>2846</v>
      </c>
      <c r="F6" s="25" t="s">
        <v>32</v>
      </c>
      <c r="G6" s="24" t="s">
        <v>2838</v>
      </c>
      <c r="H6" s="25" t="s">
        <v>2847</v>
      </c>
    </row>
    <row r="7" customFormat="false" ht="57.75" hidden="false" customHeight="true" outlineLevel="0" collapsed="false">
      <c r="A7" s="23" t="s">
        <v>34</v>
      </c>
      <c r="B7" s="24" t="s">
        <v>20</v>
      </c>
      <c r="C7" s="25" t="s">
        <v>2848</v>
      </c>
      <c r="D7" s="25" t="s">
        <v>2849</v>
      </c>
      <c r="E7" s="25" t="s">
        <v>2850</v>
      </c>
      <c r="F7" s="25" t="s">
        <v>36</v>
      </c>
      <c r="G7" s="24" t="s">
        <v>2838</v>
      </c>
      <c r="H7" s="25" t="s">
        <v>2851</v>
      </c>
    </row>
    <row r="8" customFormat="false" ht="57.75" hidden="false" customHeight="true" outlineLevel="0" collapsed="false">
      <c r="A8" s="23" t="s">
        <v>38</v>
      </c>
      <c r="B8" s="24" t="s">
        <v>20</v>
      </c>
      <c r="C8" s="25" t="s">
        <v>2844</v>
      </c>
      <c r="D8" s="25" t="s">
        <v>2852</v>
      </c>
      <c r="E8" s="25" t="s">
        <v>2853</v>
      </c>
      <c r="F8" s="25" t="s">
        <v>36</v>
      </c>
      <c r="G8" s="24" t="s">
        <v>2838</v>
      </c>
      <c r="H8" s="25" t="s">
        <v>2854</v>
      </c>
    </row>
    <row r="9" customFormat="false" ht="57.75" hidden="false" customHeight="true" outlineLevel="0" collapsed="false">
      <c r="A9" s="23" t="s">
        <v>41</v>
      </c>
      <c r="B9" s="24" t="s">
        <v>20</v>
      </c>
      <c r="C9" s="25" t="s">
        <v>2844</v>
      </c>
      <c r="D9" s="25" t="s">
        <v>2855</v>
      </c>
      <c r="E9" s="25" t="s">
        <v>2853</v>
      </c>
      <c r="F9" s="25" t="s">
        <v>36</v>
      </c>
      <c r="G9" s="24" t="s">
        <v>2838</v>
      </c>
      <c r="H9" s="25" t="s">
        <v>2856</v>
      </c>
    </row>
    <row r="10" customFormat="false" ht="57.75" hidden="false" customHeight="true" outlineLevel="0" collapsed="false">
      <c r="A10" s="23" t="s">
        <v>43</v>
      </c>
      <c r="B10" s="24" t="s">
        <v>20</v>
      </c>
      <c r="C10" s="25" t="s">
        <v>2857</v>
      </c>
      <c r="D10" s="25" t="s">
        <v>2858</v>
      </c>
      <c r="E10" s="25" t="s">
        <v>2859</v>
      </c>
      <c r="F10" s="25" t="s">
        <v>36</v>
      </c>
      <c r="G10" s="24" t="s">
        <v>2838</v>
      </c>
      <c r="H10" s="25" t="s">
        <v>2860</v>
      </c>
    </row>
    <row r="11" customFormat="false" ht="57.75" hidden="false" customHeight="true" outlineLevel="0" collapsed="false">
      <c r="A11" s="23" t="s">
        <v>47</v>
      </c>
      <c r="B11" s="24" t="s">
        <v>20</v>
      </c>
      <c r="C11" s="25" t="s">
        <v>2844</v>
      </c>
      <c r="D11" s="25" t="s">
        <v>2861</v>
      </c>
      <c r="E11" s="25" t="s">
        <v>2853</v>
      </c>
      <c r="F11" s="25" t="s">
        <v>36</v>
      </c>
      <c r="G11" s="24" t="s">
        <v>2838</v>
      </c>
      <c r="H11" s="25" t="s">
        <v>2862</v>
      </c>
    </row>
    <row r="12" customFormat="false" ht="57.75" hidden="false" customHeight="true" outlineLevel="0" collapsed="false">
      <c r="A12" s="23" t="s">
        <v>50</v>
      </c>
      <c r="B12" s="24" t="s">
        <v>20</v>
      </c>
      <c r="C12" s="25" t="s">
        <v>2863</v>
      </c>
      <c r="D12" s="25" t="s">
        <v>2864</v>
      </c>
      <c r="E12" s="25" t="s">
        <v>2865</v>
      </c>
      <c r="F12" s="25" t="s">
        <v>36</v>
      </c>
      <c r="G12" s="24" t="s">
        <v>2838</v>
      </c>
      <c r="H12" s="25" t="s">
        <v>2866</v>
      </c>
    </row>
    <row r="13" customFormat="false" ht="57.75" hidden="false" customHeight="true" outlineLevel="0" collapsed="false">
      <c r="A13" s="29" t="s">
        <v>54</v>
      </c>
      <c r="B13" s="30" t="s">
        <v>55</v>
      </c>
      <c r="C13" s="31" t="s">
        <v>2867</v>
      </c>
      <c r="D13" s="31" t="s">
        <v>2868</v>
      </c>
      <c r="E13" s="31" t="s">
        <v>2869</v>
      </c>
      <c r="F13" s="31" t="s">
        <v>2870</v>
      </c>
      <c r="G13" s="30" t="s">
        <v>58</v>
      </c>
      <c r="H13" s="31" t="s">
        <v>2871</v>
      </c>
    </row>
    <row r="14" customFormat="false" ht="57.75" hidden="false" customHeight="true" outlineLevel="0" collapsed="false">
      <c r="A14" s="29" t="s">
        <v>60</v>
      </c>
      <c r="B14" s="30" t="s">
        <v>55</v>
      </c>
      <c r="C14" s="31" t="s">
        <v>2872</v>
      </c>
      <c r="D14" s="31" t="s">
        <v>2873</v>
      </c>
      <c r="E14" s="31" t="s">
        <v>2874</v>
      </c>
      <c r="F14" s="31" t="s">
        <v>2875</v>
      </c>
      <c r="G14" s="30" t="s">
        <v>2876</v>
      </c>
      <c r="H14" s="31" t="s">
        <v>2877</v>
      </c>
    </row>
    <row r="15" customFormat="false" ht="57.75" hidden="false" customHeight="true" outlineLevel="0" collapsed="false">
      <c r="A15" s="29" t="s">
        <v>66</v>
      </c>
      <c r="B15" s="30" t="s">
        <v>55</v>
      </c>
      <c r="C15" s="31" t="s">
        <v>2878</v>
      </c>
      <c r="D15" s="31" t="s">
        <v>2879</v>
      </c>
      <c r="E15" s="31" t="s">
        <v>417</v>
      </c>
      <c r="F15" s="31" t="s">
        <v>2880</v>
      </c>
      <c r="G15" s="30" t="s">
        <v>58</v>
      </c>
      <c r="H15" s="31" t="s">
        <v>2881</v>
      </c>
    </row>
    <row r="16" customFormat="false" ht="57.75" hidden="false" customHeight="true" outlineLevel="0" collapsed="false">
      <c r="A16" s="29" t="s">
        <v>70</v>
      </c>
      <c r="B16" s="30" t="s">
        <v>55</v>
      </c>
      <c r="C16" s="31" t="s">
        <v>2882</v>
      </c>
      <c r="D16" s="31" t="s">
        <v>2883</v>
      </c>
      <c r="E16" s="31" t="s">
        <v>419</v>
      </c>
      <c r="F16" s="31" t="s">
        <v>72</v>
      </c>
      <c r="G16" s="30" t="s">
        <v>58</v>
      </c>
      <c r="H16" s="31" t="s">
        <v>2884</v>
      </c>
    </row>
    <row r="17" customFormat="false" ht="57.75" hidden="false" customHeight="true" outlineLevel="0" collapsed="false">
      <c r="A17" s="32" t="s">
        <v>73</v>
      </c>
      <c r="B17" s="33" t="s">
        <v>74</v>
      </c>
      <c r="C17" s="34" t="s">
        <v>2885</v>
      </c>
      <c r="D17" s="34" t="s">
        <v>2886</v>
      </c>
      <c r="E17" s="34" t="s">
        <v>422</v>
      </c>
      <c r="F17" s="34" t="s">
        <v>76</v>
      </c>
      <c r="G17" s="33" t="s">
        <v>77</v>
      </c>
      <c r="H17" s="34" t="s">
        <v>2887</v>
      </c>
    </row>
    <row r="18" customFormat="false" ht="57.75" hidden="false" customHeight="true" outlineLevel="0" collapsed="false">
      <c r="A18" s="32" t="s">
        <v>79</v>
      </c>
      <c r="B18" s="33" t="s">
        <v>74</v>
      </c>
      <c r="C18" s="34" t="s">
        <v>2888</v>
      </c>
      <c r="D18" s="34" t="s">
        <v>2889</v>
      </c>
      <c r="E18" s="34" t="s">
        <v>2890</v>
      </c>
      <c r="F18" s="34" t="s">
        <v>2891</v>
      </c>
      <c r="G18" s="33" t="s">
        <v>83</v>
      </c>
      <c r="H18" s="34" t="s">
        <v>2892</v>
      </c>
    </row>
    <row r="19" customFormat="false" ht="57.75" hidden="false" customHeight="true" outlineLevel="0" collapsed="false">
      <c r="A19" s="32" t="s">
        <v>85</v>
      </c>
      <c r="B19" s="33" t="s">
        <v>74</v>
      </c>
      <c r="C19" s="34" t="s">
        <v>2893</v>
      </c>
      <c r="D19" s="34" t="s">
        <v>2894</v>
      </c>
      <c r="E19" s="34" t="s">
        <v>2895</v>
      </c>
      <c r="F19" s="34" t="s">
        <v>2896</v>
      </c>
      <c r="G19" s="33" t="s">
        <v>89</v>
      </c>
      <c r="H19" s="34" t="s">
        <v>2897</v>
      </c>
    </row>
    <row r="20" customFormat="false" ht="57.75" hidden="false" customHeight="true" outlineLevel="0" collapsed="false">
      <c r="A20" s="32" t="s">
        <v>91</v>
      </c>
      <c r="B20" s="33" t="s">
        <v>74</v>
      </c>
      <c r="C20" s="34" t="s">
        <v>2898</v>
      </c>
      <c r="D20" s="34" t="s">
        <v>2899</v>
      </c>
      <c r="E20" s="34" t="s">
        <v>2900</v>
      </c>
      <c r="F20" s="34" t="s">
        <v>2901</v>
      </c>
      <c r="G20" s="33" t="s">
        <v>89</v>
      </c>
      <c r="H20" s="34" t="s">
        <v>94</v>
      </c>
    </row>
    <row r="21" customFormat="false" ht="57.75" hidden="false" customHeight="true" outlineLevel="0" collapsed="false">
      <c r="A21" s="32" t="s">
        <v>95</v>
      </c>
      <c r="B21" s="33" t="s">
        <v>74</v>
      </c>
      <c r="C21" s="34" t="s">
        <v>933</v>
      </c>
      <c r="D21" s="34" t="s">
        <v>2902</v>
      </c>
      <c r="E21" s="34" t="s">
        <v>432</v>
      </c>
      <c r="F21" s="34" t="s">
        <v>97</v>
      </c>
      <c r="G21" s="33" t="s">
        <v>58</v>
      </c>
      <c r="H21" s="34" t="s">
        <v>2903</v>
      </c>
    </row>
    <row r="22" customFormat="false" ht="57.75" hidden="false" customHeight="true" outlineLevel="0" collapsed="false">
      <c r="A22" s="32" t="s">
        <v>108</v>
      </c>
      <c r="B22" s="33" t="s">
        <v>74</v>
      </c>
      <c r="C22" s="34" t="s">
        <v>2904</v>
      </c>
      <c r="D22" s="34" t="s">
        <v>2905</v>
      </c>
      <c r="E22" s="34" t="s">
        <v>438</v>
      </c>
      <c r="F22" s="34" t="s">
        <v>2906</v>
      </c>
      <c r="G22" s="33" t="s">
        <v>58</v>
      </c>
      <c r="H22" s="34" t="s">
        <v>112</v>
      </c>
    </row>
    <row r="23" customFormat="false" ht="57.75" hidden="false" customHeight="true" outlineLevel="0" collapsed="false">
      <c r="A23" s="36" t="s">
        <v>117</v>
      </c>
      <c r="B23" s="37" t="s">
        <v>2907</v>
      </c>
      <c r="C23" s="38" t="s">
        <v>2908</v>
      </c>
      <c r="D23" s="38" t="s">
        <v>2909</v>
      </c>
      <c r="E23" s="38" t="s">
        <v>2910</v>
      </c>
      <c r="F23" s="38" t="s">
        <v>122</v>
      </c>
      <c r="G23" s="37" t="s">
        <v>2911</v>
      </c>
      <c r="H23" s="38" t="s">
        <v>2912</v>
      </c>
    </row>
    <row r="24" customFormat="false" ht="57.75" hidden="false" customHeight="true" outlineLevel="0" collapsed="false">
      <c r="A24" s="36" t="s">
        <v>125</v>
      </c>
      <c r="B24" s="37" t="s">
        <v>2907</v>
      </c>
      <c r="C24" s="38" t="s">
        <v>2913</v>
      </c>
      <c r="D24" s="38" t="s">
        <v>2914</v>
      </c>
      <c r="E24" s="38" t="s">
        <v>2915</v>
      </c>
      <c r="F24" s="38" t="s">
        <v>450</v>
      </c>
      <c r="G24" s="37" t="s">
        <v>2916</v>
      </c>
      <c r="H24" s="38" t="s">
        <v>2917</v>
      </c>
    </row>
    <row r="25" customFormat="false" ht="57.75" hidden="false" customHeight="true" outlineLevel="0" collapsed="false">
      <c r="A25" s="36" t="s">
        <v>131</v>
      </c>
      <c r="B25" s="37" t="s">
        <v>2907</v>
      </c>
      <c r="C25" s="38" t="s">
        <v>2918</v>
      </c>
      <c r="D25" s="38" t="s">
        <v>2919</v>
      </c>
      <c r="E25" s="38" t="s">
        <v>451</v>
      </c>
      <c r="F25" s="38" t="s">
        <v>2920</v>
      </c>
      <c r="G25" s="37" t="s">
        <v>89</v>
      </c>
      <c r="H25" s="38" t="s">
        <v>2921</v>
      </c>
    </row>
    <row r="26" customFormat="false" ht="57.75" hidden="false" customHeight="true" outlineLevel="0" collapsed="false">
      <c r="A26" s="36" t="s">
        <v>138</v>
      </c>
      <c r="B26" s="37" t="s">
        <v>2907</v>
      </c>
      <c r="C26" s="38" t="s">
        <v>2922</v>
      </c>
      <c r="D26" s="38" t="s">
        <v>141</v>
      </c>
      <c r="E26" s="38" t="s">
        <v>454</v>
      </c>
      <c r="F26" s="38" t="s">
        <v>142</v>
      </c>
      <c r="G26" s="37" t="s">
        <v>58</v>
      </c>
      <c r="H26" s="38" t="s">
        <v>2923</v>
      </c>
    </row>
    <row r="27" customFormat="false" ht="57.75" hidden="false" customHeight="true" outlineLevel="0" collapsed="false">
      <c r="A27" s="36" t="s">
        <v>144</v>
      </c>
      <c r="B27" s="37" t="s">
        <v>2907</v>
      </c>
      <c r="C27" s="38" t="s">
        <v>2924</v>
      </c>
      <c r="D27" s="38" t="s">
        <v>147</v>
      </c>
      <c r="E27" s="38" t="s">
        <v>148</v>
      </c>
      <c r="F27" s="38" t="s">
        <v>2925</v>
      </c>
      <c r="G27" s="37" t="s">
        <v>129</v>
      </c>
      <c r="H27" s="38" t="s">
        <v>2926</v>
      </c>
    </row>
    <row r="28" customFormat="false" ht="57.75" hidden="false" customHeight="true" outlineLevel="0" collapsed="false">
      <c r="A28" s="36" t="s">
        <v>168</v>
      </c>
      <c r="B28" s="37" t="s">
        <v>2907</v>
      </c>
      <c r="C28" s="38" t="s">
        <v>2927</v>
      </c>
      <c r="D28" s="38" t="s">
        <v>2928</v>
      </c>
      <c r="E28" s="38" t="s">
        <v>462</v>
      </c>
      <c r="F28" s="38" t="s">
        <v>2929</v>
      </c>
      <c r="G28" s="37" t="s">
        <v>2930</v>
      </c>
      <c r="H28" s="38" t="s">
        <v>2931</v>
      </c>
    </row>
    <row r="29" customFormat="false" ht="57.75" hidden="false" customHeight="true" outlineLevel="0" collapsed="false">
      <c r="A29" s="44" t="s">
        <v>248</v>
      </c>
      <c r="B29" s="45" t="s">
        <v>2932</v>
      </c>
      <c r="C29" s="46" t="s">
        <v>2933</v>
      </c>
      <c r="D29" s="46" t="s">
        <v>2934</v>
      </c>
      <c r="E29" s="46" t="s">
        <v>2935</v>
      </c>
      <c r="F29" s="46" t="s">
        <v>252</v>
      </c>
      <c r="G29" s="45" t="s">
        <v>2936</v>
      </c>
      <c r="H29" s="46" t="s">
        <v>2937</v>
      </c>
    </row>
    <row r="30" customFormat="false" ht="57.75" hidden="false" customHeight="true" outlineLevel="0" collapsed="false">
      <c r="A30" s="44" t="s">
        <v>312</v>
      </c>
      <c r="B30" s="45" t="s">
        <v>2932</v>
      </c>
      <c r="C30" s="46" t="s">
        <v>2938</v>
      </c>
      <c r="D30" s="46" t="s">
        <v>313</v>
      </c>
      <c r="E30" s="46" t="s">
        <v>1249</v>
      </c>
      <c r="F30" s="46" t="s">
        <v>314</v>
      </c>
      <c r="G30" s="45" t="s">
        <v>58</v>
      </c>
      <c r="H30" s="46" t="s">
        <v>2939</v>
      </c>
    </row>
    <row r="31" customFormat="false" ht="57.75" hidden="false" customHeight="true" outlineLevel="0" collapsed="false">
      <c r="A31" s="44" t="s">
        <v>305</v>
      </c>
      <c r="B31" s="45" t="s">
        <v>2932</v>
      </c>
      <c r="C31" s="46" t="s">
        <v>2940</v>
      </c>
      <c r="D31" s="46" t="s">
        <v>2941</v>
      </c>
      <c r="E31" s="46" t="s">
        <v>1247</v>
      </c>
      <c r="F31" s="46" t="s">
        <v>309</v>
      </c>
      <c r="G31" s="45" t="s">
        <v>310</v>
      </c>
      <c r="H31" s="46" t="s">
        <v>2942</v>
      </c>
    </row>
    <row r="32" customFormat="false" ht="57.75" hidden="false" customHeight="true" outlineLevel="0" collapsed="false">
      <c r="A32" s="44" t="s">
        <v>299</v>
      </c>
      <c r="B32" s="45" t="s">
        <v>2932</v>
      </c>
      <c r="C32" s="46" t="s">
        <v>2943</v>
      </c>
      <c r="D32" s="46" t="s">
        <v>301</v>
      </c>
      <c r="E32" s="46" t="s">
        <v>1244</v>
      </c>
      <c r="F32" s="46" t="s">
        <v>2944</v>
      </c>
      <c r="G32" s="45" t="s">
        <v>303</v>
      </c>
      <c r="H32" s="46" t="s">
        <v>2945</v>
      </c>
    </row>
    <row r="33" customFormat="false" ht="57.75" hidden="false" customHeight="true" outlineLevel="0" collapsed="false">
      <c r="A33" s="44" t="s">
        <v>269</v>
      </c>
      <c r="B33" s="45" t="s">
        <v>2932</v>
      </c>
      <c r="C33" s="46" t="s">
        <v>2946</v>
      </c>
      <c r="D33" s="46" t="s">
        <v>2947</v>
      </c>
      <c r="E33" s="46" t="s">
        <v>1229</v>
      </c>
      <c r="F33" s="46" t="s">
        <v>2948</v>
      </c>
      <c r="G33" s="45" t="s">
        <v>2949</v>
      </c>
      <c r="H33" s="46" t="s">
        <v>2950</v>
      </c>
    </row>
    <row r="34" customFormat="false" ht="57.75" hidden="false" customHeight="true" outlineLevel="0" collapsed="false">
      <c r="A34" s="44" t="s">
        <v>296</v>
      </c>
      <c r="B34" s="45" t="s">
        <v>2932</v>
      </c>
      <c r="C34" s="46" t="s">
        <v>2951</v>
      </c>
      <c r="D34" s="46" t="s">
        <v>2952</v>
      </c>
      <c r="E34" s="46" t="s">
        <v>1242</v>
      </c>
      <c r="F34" s="46" t="s">
        <v>298</v>
      </c>
      <c r="G34" s="45" t="s">
        <v>2949</v>
      </c>
      <c r="H34" s="46" t="s">
        <v>2953</v>
      </c>
    </row>
    <row r="36" customFormat="false" ht="27.75" hidden="false" customHeight="true" outlineLevel="0" collapsed="false">
      <c r="A36" s="35" t="s">
        <v>2954</v>
      </c>
      <c r="B36" s="35"/>
      <c r="C36" s="35"/>
      <c r="D36" s="35"/>
      <c r="E36" s="35"/>
      <c r="F36" s="35"/>
      <c r="G36" s="35"/>
      <c r="H36" s="35"/>
    </row>
  </sheetData>
  <autoFilter ref="A3:H34"/>
  <mergeCells count="2">
    <mergeCell ref="A1:H1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6E00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8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40"/>
    <col collapsed="false" customWidth="true" hidden="false" outlineLevel="0" max="6" min="6" style="1" width="26"/>
  </cols>
  <sheetData>
    <row r="1" customFormat="false" ht="24" hidden="false" customHeight="true" outlineLevel="0" collapsed="false">
      <c r="A1" s="2" t="s">
        <v>2955</v>
      </c>
    </row>
    <row r="2" customFormat="false" ht="15.75" hidden="false" customHeight="true" outlineLevel="0" collapsed="false">
      <c r="A2" s="3" t="s">
        <v>2956</v>
      </c>
    </row>
    <row r="3" customFormat="false" ht="13.5" hidden="false" customHeight="true" outlineLevel="0" collapsed="false">
      <c r="A3" s="4" t="s">
        <v>2957</v>
      </c>
    </row>
    <row r="4" customFormat="false" ht="6" hidden="false" customHeight="true" outlineLevel="0" collapsed="false"/>
    <row r="5" customFormat="false" ht="27.75" hidden="false" customHeight="true" outlineLevel="0" collapsed="false">
      <c r="A5" s="7" t="s">
        <v>2958</v>
      </c>
      <c r="B5" s="7" t="s">
        <v>2959</v>
      </c>
      <c r="C5" s="7" t="s">
        <v>2960</v>
      </c>
      <c r="D5" s="7" t="s">
        <v>2961</v>
      </c>
      <c r="E5" s="7" t="s">
        <v>2962</v>
      </c>
      <c r="F5" s="7" t="s">
        <v>2963</v>
      </c>
    </row>
    <row r="6" customFormat="false" ht="34.5" hidden="false" customHeight="true" outlineLevel="0" collapsed="false">
      <c r="A6" s="8" t="s">
        <v>2964</v>
      </c>
      <c r="B6" s="9" t="s">
        <v>2965</v>
      </c>
      <c r="C6" s="9" t="s">
        <v>2966</v>
      </c>
      <c r="D6" s="9" t="s">
        <v>2967</v>
      </c>
      <c r="E6" s="9" t="s">
        <v>2968</v>
      </c>
      <c r="F6" s="43"/>
    </row>
    <row r="7" customFormat="false" ht="34.5" hidden="false" customHeight="true" outlineLevel="0" collapsed="false">
      <c r="A7" s="8" t="s">
        <v>2969</v>
      </c>
      <c r="B7" s="9" t="s">
        <v>2970</v>
      </c>
      <c r="C7" s="9" t="s">
        <v>2971</v>
      </c>
      <c r="D7" s="9" t="s">
        <v>2972</v>
      </c>
      <c r="E7" s="9" t="s">
        <v>2973</v>
      </c>
      <c r="F7" s="43"/>
    </row>
    <row r="8" customFormat="false" ht="34.5" hidden="false" customHeight="true" outlineLevel="0" collapsed="false">
      <c r="A8" s="8" t="s">
        <v>2974</v>
      </c>
      <c r="B8" s="9" t="s">
        <v>2975</v>
      </c>
      <c r="C8" s="9" t="s">
        <v>2976</v>
      </c>
      <c r="D8" s="9" t="s">
        <v>2977</v>
      </c>
      <c r="E8" s="9"/>
      <c r="F8" s="43"/>
    </row>
    <row r="9" customFormat="false" ht="34.5" hidden="false" customHeight="true" outlineLevel="0" collapsed="false">
      <c r="A9" s="8" t="s">
        <v>2978</v>
      </c>
      <c r="B9" s="9" t="s">
        <v>2979</v>
      </c>
      <c r="C9" s="9" t="s">
        <v>2980</v>
      </c>
      <c r="D9" s="9" t="s">
        <v>2981</v>
      </c>
      <c r="E9" s="9" t="s">
        <v>2982</v>
      </c>
      <c r="F9" s="43"/>
    </row>
    <row r="10" customFormat="false" ht="34.5" hidden="false" customHeight="true" outlineLevel="0" collapsed="false">
      <c r="A10" s="8" t="s">
        <v>2983</v>
      </c>
      <c r="B10" s="9" t="s">
        <v>2984</v>
      </c>
      <c r="C10" s="9" t="s">
        <v>2985</v>
      </c>
      <c r="D10" s="9" t="s">
        <v>2986</v>
      </c>
      <c r="E10" s="9" t="s">
        <v>2987</v>
      </c>
      <c r="F10" s="43"/>
    </row>
    <row r="11" customFormat="false" ht="34.5" hidden="false" customHeight="true" outlineLevel="0" collapsed="false">
      <c r="A11" s="8" t="s">
        <v>2988</v>
      </c>
      <c r="B11" s="9" t="s">
        <v>2989</v>
      </c>
      <c r="C11" s="9" t="s">
        <v>2990</v>
      </c>
      <c r="D11" s="9" t="s">
        <v>2991</v>
      </c>
      <c r="E11" s="9"/>
      <c r="F11" s="43"/>
    </row>
    <row r="12" customFormat="false" ht="23.25" hidden="false" customHeight="true" outlineLevel="0" collapsed="false">
      <c r="A12" s="8" t="s">
        <v>2992</v>
      </c>
      <c r="B12" s="9" t="s">
        <v>2993</v>
      </c>
      <c r="C12" s="9" t="s">
        <v>2994</v>
      </c>
      <c r="D12" s="9" t="s">
        <v>2995</v>
      </c>
      <c r="E12" s="9" t="s">
        <v>2996</v>
      </c>
      <c r="F12" s="43"/>
    </row>
    <row r="13" customFormat="false" ht="34.5" hidden="false" customHeight="true" outlineLevel="0" collapsed="false">
      <c r="A13" s="8" t="s">
        <v>2997</v>
      </c>
      <c r="B13" s="9" t="s">
        <v>2998</v>
      </c>
      <c r="C13" s="9" t="s">
        <v>2999</v>
      </c>
      <c r="D13" s="9" t="s">
        <v>3000</v>
      </c>
      <c r="E13" s="9"/>
      <c r="F13" s="43"/>
    </row>
    <row r="14" customFormat="false" ht="23.25" hidden="false" customHeight="true" outlineLevel="0" collapsed="false">
      <c r="A14" s="8" t="s">
        <v>3001</v>
      </c>
      <c r="B14" s="9" t="s">
        <v>3002</v>
      </c>
      <c r="C14" s="9" t="s">
        <v>3003</v>
      </c>
      <c r="D14" s="9" t="s">
        <v>3004</v>
      </c>
      <c r="E14" s="9"/>
      <c r="F14" s="43"/>
    </row>
    <row r="15" customFormat="false" ht="23.25" hidden="false" customHeight="true" outlineLevel="0" collapsed="false">
      <c r="A15" s="8" t="s">
        <v>3005</v>
      </c>
      <c r="B15" s="9" t="s">
        <v>3006</v>
      </c>
      <c r="C15" s="9" t="s">
        <v>3007</v>
      </c>
      <c r="D15" s="9" t="s">
        <v>3008</v>
      </c>
      <c r="E15" s="9"/>
      <c r="F15" s="43"/>
    </row>
    <row r="16" customFormat="false" ht="23.25" hidden="false" customHeight="true" outlineLevel="0" collapsed="false">
      <c r="A16" s="8" t="s">
        <v>3009</v>
      </c>
      <c r="B16" s="9" t="s">
        <v>3010</v>
      </c>
      <c r="C16" s="9" t="s">
        <v>3011</v>
      </c>
      <c r="D16" s="9" t="s">
        <v>3012</v>
      </c>
      <c r="E16" s="9" t="s">
        <v>3013</v>
      </c>
      <c r="F16" s="43"/>
    </row>
    <row r="17" customFormat="false" ht="23.25" hidden="false" customHeight="true" outlineLevel="0" collapsed="false">
      <c r="A17" s="8" t="s">
        <v>3014</v>
      </c>
      <c r="B17" s="9" t="s">
        <v>3015</v>
      </c>
      <c r="C17" s="9" t="s">
        <v>3016</v>
      </c>
      <c r="D17" s="9" t="s">
        <v>3017</v>
      </c>
      <c r="E17" s="9"/>
      <c r="F17" s="43"/>
    </row>
    <row r="18" customFormat="false" ht="23.25" hidden="false" customHeight="true" outlineLevel="0" collapsed="false">
      <c r="A18" s="8" t="s">
        <v>3018</v>
      </c>
      <c r="B18" s="9" t="s">
        <v>3019</v>
      </c>
      <c r="C18" s="9" t="s">
        <v>3020</v>
      </c>
      <c r="D18" s="9" t="s">
        <v>3021</v>
      </c>
      <c r="E18" s="9" t="s">
        <v>3022</v>
      </c>
      <c r="F18" s="43"/>
    </row>
    <row r="20" customFormat="false" ht="39.75" hidden="false" customHeight="true" outlineLevel="0" collapsed="false">
      <c r="A20" s="11" t="s">
        <v>3023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8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46"/>
    <col collapsed="false" customWidth="true" hidden="false" outlineLevel="0" max="7" min="7" style="1" width="36"/>
  </cols>
  <sheetData>
    <row r="1" customFormat="false" ht="24" hidden="false" customHeight="true" outlineLevel="0" collapsed="false">
      <c r="A1" s="12" t="s">
        <v>3024</v>
      </c>
      <c r="B1" s="12"/>
      <c r="C1" s="12"/>
      <c r="D1" s="12"/>
      <c r="E1" s="12"/>
      <c r="F1" s="12"/>
      <c r="G1" s="12"/>
    </row>
    <row r="3" customFormat="false" ht="19.5" hidden="false" customHeight="true" outlineLevel="0" collapsed="false">
      <c r="A3" s="17" t="s">
        <v>383</v>
      </c>
      <c r="B3" s="17" t="s">
        <v>3025</v>
      </c>
      <c r="C3" s="17" t="s">
        <v>3026</v>
      </c>
      <c r="D3" s="17" t="s">
        <v>3027</v>
      </c>
      <c r="E3" s="17" t="s">
        <v>3028</v>
      </c>
      <c r="F3" s="17" t="s">
        <v>3029</v>
      </c>
      <c r="G3" s="17" t="s">
        <v>3030</v>
      </c>
    </row>
    <row r="4" customFormat="false" ht="25.5" hidden="false" customHeight="true" outlineLevel="0" collapsed="false">
      <c r="A4" s="23" t="s">
        <v>60</v>
      </c>
      <c r="B4" s="24" t="n">
        <v>4</v>
      </c>
      <c r="C4" s="24" t="n">
        <v>0</v>
      </c>
      <c r="D4" s="24" t="n">
        <v>0</v>
      </c>
      <c r="E4" s="24" t="s">
        <v>3031</v>
      </c>
      <c r="F4" s="25" t="s">
        <v>3032</v>
      </c>
      <c r="G4" s="25" t="s">
        <v>3033</v>
      </c>
    </row>
    <row r="5" customFormat="false" ht="25.5" hidden="false" customHeight="true" outlineLevel="0" collapsed="false">
      <c r="A5" s="23" t="s">
        <v>18</v>
      </c>
      <c r="B5" s="24" t="n">
        <v>2</v>
      </c>
      <c r="C5" s="24" t="n">
        <v>2</v>
      </c>
      <c r="D5" s="24" t="n">
        <v>1</v>
      </c>
      <c r="E5" s="24" t="s">
        <v>3034</v>
      </c>
      <c r="F5" s="25" t="s">
        <v>3035</v>
      </c>
      <c r="G5" s="25" t="s">
        <v>3036</v>
      </c>
    </row>
    <row r="6" customFormat="false" ht="25.5" hidden="false" customHeight="true" outlineLevel="0" collapsed="false">
      <c r="A6" s="23" t="s">
        <v>30</v>
      </c>
      <c r="B6" s="24" t="n">
        <v>1</v>
      </c>
      <c r="C6" s="24" t="n">
        <v>1</v>
      </c>
      <c r="D6" s="24" t="n">
        <v>3</v>
      </c>
      <c r="E6" s="24" t="s">
        <v>3034</v>
      </c>
      <c r="F6" s="25" t="s">
        <v>3037</v>
      </c>
      <c r="G6" s="25" t="s">
        <v>3038</v>
      </c>
    </row>
    <row r="7" customFormat="false" ht="25.5" hidden="false" customHeight="true" outlineLevel="0" collapsed="false">
      <c r="A7" s="23" t="s">
        <v>50</v>
      </c>
      <c r="B7" s="24" t="n">
        <v>3</v>
      </c>
      <c r="C7" s="24" t="n">
        <v>0</v>
      </c>
      <c r="D7" s="24" t="n">
        <v>1</v>
      </c>
      <c r="E7" s="24" t="s">
        <v>3031</v>
      </c>
      <c r="F7" s="25" t="s">
        <v>3039</v>
      </c>
      <c r="G7" s="25" t="s">
        <v>3040</v>
      </c>
    </row>
    <row r="8" customFormat="false" ht="25.5" hidden="false" customHeight="true" outlineLevel="0" collapsed="false">
      <c r="A8" s="23" t="s">
        <v>54</v>
      </c>
      <c r="B8" s="24" t="n">
        <v>0</v>
      </c>
      <c r="C8" s="24" t="n">
        <v>1</v>
      </c>
      <c r="D8" s="24" t="n">
        <v>2</v>
      </c>
      <c r="E8" s="24" t="s">
        <v>3041</v>
      </c>
      <c r="F8" s="25" t="s">
        <v>3042</v>
      </c>
      <c r="G8" s="25" t="s">
        <v>3043</v>
      </c>
    </row>
    <row r="9" customFormat="false" ht="25.5" hidden="false" customHeight="true" outlineLevel="0" collapsed="false">
      <c r="A9" s="23" t="s">
        <v>79</v>
      </c>
      <c r="B9" s="24" t="n">
        <v>3</v>
      </c>
      <c r="C9" s="24" t="n">
        <v>0</v>
      </c>
      <c r="D9" s="24" t="n">
        <v>0</v>
      </c>
      <c r="E9" s="24" t="s">
        <v>3044</v>
      </c>
      <c r="F9" s="25" t="s">
        <v>3045</v>
      </c>
      <c r="G9" s="25" t="s">
        <v>3046</v>
      </c>
    </row>
    <row r="10" customFormat="false" ht="25.5" hidden="false" customHeight="true" outlineLevel="0" collapsed="false">
      <c r="A10" s="23" t="s">
        <v>95</v>
      </c>
      <c r="B10" s="24" t="n">
        <v>1</v>
      </c>
      <c r="C10" s="24" t="n">
        <v>0</v>
      </c>
      <c r="D10" s="24" t="n">
        <v>2</v>
      </c>
      <c r="E10" s="24" t="s">
        <v>3041</v>
      </c>
      <c r="F10" s="25" t="s">
        <v>3047</v>
      </c>
      <c r="G10" s="25" t="s">
        <v>3048</v>
      </c>
    </row>
    <row r="11" customFormat="false" ht="25.5" hidden="false" customHeight="true" outlineLevel="0" collapsed="false">
      <c r="A11" s="23" t="s">
        <v>3049</v>
      </c>
      <c r="B11" s="24" t="n">
        <v>2</v>
      </c>
      <c r="C11" s="24" t="n">
        <v>0</v>
      </c>
      <c r="D11" s="24" t="n">
        <v>0</v>
      </c>
      <c r="E11" s="24" t="s">
        <v>3050</v>
      </c>
      <c r="F11" s="25" t="s">
        <v>3051</v>
      </c>
      <c r="G11" s="25" t="s">
        <v>3052</v>
      </c>
    </row>
    <row r="12" customFormat="false" ht="25.5" hidden="false" customHeight="true" outlineLevel="0" collapsed="false">
      <c r="A12" s="23" t="s">
        <v>70</v>
      </c>
      <c r="B12" s="24" t="n">
        <v>2</v>
      </c>
      <c r="C12" s="24" t="n">
        <v>0</v>
      </c>
      <c r="D12" s="24" t="n">
        <v>0</v>
      </c>
      <c r="E12" s="24" t="s">
        <v>3050</v>
      </c>
      <c r="F12" s="25" t="s">
        <v>3053</v>
      </c>
      <c r="G12" s="25" t="s">
        <v>3054</v>
      </c>
    </row>
    <row r="13" customFormat="false" ht="25.5" hidden="false" customHeight="true" outlineLevel="0" collapsed="false">
      <c r="A13" s="23" t="s">
        <v>38</v>
      </c>
      <c r="B13" s="24" t="n">
        <v>0</v>
      </c>
      <c r="C13" s="24" t="n">
        <v>0</v>
      </c>
      <c r="D13" s="24" t="n">
        <v>2</v>
      </c>
      <c r="E13" s="24" t="s">
        <v>3050</v>
      </c>
      <c r="F13" s="25" t="s">
        <v>3055</v>
      </c>
      <c r="G13" s="25" t="s">
        <v>3056</v>
      </c>
    </row>
    <row r="14" customFormat="false" ht="25.5" hidden="false" customHeight="true" outlineLevel="0" collapsed="false">
      <c r="A14" s="23" t="s">
        <v>85</v>
      </c>
      <c r="B14" s="24" t="n">
        <v>1</v>
      </c>
      <c r="C14" s="24" t="n">
        <v>1</v>
      </c>
      <c r="D14" s="24" t="n">
        <v>0</v>
      </c>
      <c r="E14" s="24" t="s">
        <v>3057</v>
      </c>
      <c r="F14" s="25" t="s">
        <v>3058</v>
      </c>
      <c r="G14" s="25" t="s">
        <v>3059</v>
      </c>
    </row>
    <row r="15" customFormat="false" ht="25.5" hidden="false" customHeight="true" outlineLevel="0" collapsed="false">
      <c r="A15" s="23" t="s">
        <v>26</v>
      </c>
      <c r="B15" s="24" t="n">
        <v>1</v>
      </c>
      <c r="C15" s="24" t="n">
        <v>0</v>
      </c>
      <c r="D15" s="24" t="n">
        <v>0</v>
      </c>
      <c r="E15" s="24" t="s">
        <v>3060</v>
      </c>
      <c r="F15" s="25" t="s">
        <v>3061</v>
      </c>
      <c r="G15" s="25" t="s">
        <v>3062</v>
      </c>
    </row>
    <row r="16" customFormat="false" ht="25.5" hidden="false" customHeight="true" outlineLevel="0" collapsed="false">
      <c r="A16" s="23" t="s">
        <v>41</v>
      </c>
      <c r="B16" s="24" t="n">
        <v>1</v>
      </c>
      <c r="C16" s="24" t="n">
        <v>0</v>
      </c>
      <c r="D16" s="24" t="n">
        <v>0</v>
      </c>
      <c r="E16" s="24" t="s">
        <v>3060</v>
      </c>
      <c r="F16" s="25" t="s">
        <v>3063</v>
      </c>
      <c r="G16" s="25" t="s">
        <v>3064</v>
      </c>
    </row>
    <row r="17" customFormat="false" ht="25.5" hidden="false" customHeight="true" outlineLevel="0" collapsed="false">
      <c r="A17" s="23" t="s">
        <v>34</v>
      </c>
      <c r="B17" s="24" t="n">
        <v>0</v>
      </c>
      <c r="C17" s="24" t="n">
        <v>0</v>
      </c>
      <c r="D17" s="24" t="n">
        <v>1</v>
      </c>
      <c r="E17" s="24" t="s">
        <v>3060</v>
      </c>
      <c r="F17" s="25" t="s">
        <v>3065</v>
      </c>
      <c r="G17" s="25" t="s">
        <v>3066</v>
      </c>
    </row>
    <row r="18" customFormat="false" ht="25.5" hidden="false" customHeight="true" outlineLevel="0" collapsed="false">
      <c r="A18" s="23" t="s">
        <v>43</v>
      </c>
      <c r="B18" s="24" t="n">
        <v>0</v>
      </c>
      <c r="C18" s="24" t="n">
        <v>0</v>
      </c>
      <c r="D18" s="24" t="n">
        <v>1</v>
      </c>
      <c r="E18" s="24" t="s">
        <v>3060</v>
      </c>
      <c r="F18" s="25" t="s">
        <v>3067</v>
      </c>
      <c r="G18" s="25" t="s">
        <v>3068</v>
      </c>
    </row>
    <row r="19" customFormat="false" ht="25.5" hidden="false" customHeight="true" outlineLevel="0" collapsed="false">
      <c r="A19" s="23" t="s">
        <v>105</v>
      </c>
      <c r="B19" s="24" t="n">
        <v>0</v>
      </c>
      <c r="C19" s="24" t="n">
        <v>1</v>
      </c>
      <c r="D19" s="24" t="n">
        <v>0</v>
      </c>
      <c r="E19" s="24" t="s">
        <v>3060</v>
      </c>
      <c r="F19" s="25" t="s">
        <v>3069</v>
      </c>
      <c r="G19" s="25" t="s">
        <v>3070</v>
      </c>
    </row>
    <row r="20" customFormat="false" ht="25.5" hidden="false" customHeight="true" outlineLevel="0" collapsed="false">
      <c r="A20" s="23" t="s">
        <v>3071</v>
      </c>
      <c r="B20" s="24" t="n">
        <v>1</v>
      </c>
      <c r="C20" s="24" t="n">
        <v>0</v>
      </c>
      <c r="D20" s="24" t="n">
        <v>0</v>
      </c>
      <c r="E20" s="24" t="s">
        <v>3060</v>
      </c>
      <c r="F20" s="25" t="s">
        <v>3072</v>
      </c>
      <c r="G20" s="25" t="s">
        <v>3073</v>
      </c>
    </row>
    <row r="21" customFormat="false" ht="25.5" hidden="false" customHeight="true" outlineLevel="0" collapsed="false">
      <c r="A21" s="23" t="s">
        <v>91</v>
      </c>
      <c r="B21" s="24" t="n">
        <v>1</v>
      </c>
      <c r="C21" s="24" t="n">
        <v>0</v>
      </c>
      <c r="D21" s="24" t="n">
        <v>0</v>
      </c>
      <c r="E21" s="24" t="s">
        <v>3060</v>
      </c>
      <c r="F21" s="25" t="s">
        <v>3074</v>
      </c>
      <c r="G21" s="25" t="s">
        <v>3075</v>
      </c>
    </row>
    <row r="22" customFormat="false" ht="25.5" hidden="false" customHeight="true" outlineLevel="0" collapsed="false">
      <c r="A22" s="23" t="s">
        <v>108</v>
      </c>
      <c r="B22" s="24" t="n">
        <v>1</v>
      </c>
      <c r="C22" s="24" t="n">
        <v>0</v>
      </c>
      <c r="D22" s="24" t="n">
        <v>0</v>
      </c>
      <c r="E22" s="24" t="s">
        <v>3060</v>
      </c>
      <c r="F22" s="25" t="s">
        <v>3076</v>
      </c>
      <c r="G22" s="25" t="s">
        <v>3077</v>
      </c>
    </row>
    <row r="23" customFormat="false" ht="25.5" hidden="false" customHeight="true" outlineLevel="0" collapsed="false">
      <c r="A23" s="23" t="s">
        <v>3078</v>
      </c>
      <c r="B23" s="24" t="n">
        <v>0</v>
      </c>
      <c r="C23" s="24" t="n">
        <v>1</v>
      </c>
      <c r="D23" s="24" t="n">
        <v>0</v>
      </c>
      <c r="E23" s="24" t="s">
        <v>3060</v>
      </c>
      <c r="F23" s="25" t="s">
        <v>3079</v>
      </c>
      <c r="G23" s="25" t="s">
        <v>3080</v>
      </c>
    </row>
    <row r="24" customFormat="false" ht="25.5" hidden="false" customHeight="true" outlineLevel="0" collapsed="false">
      <c r="A24" s="23" t="s">
        <v>3081</v>
      </c>
      <c r="B24" s="24" t="n">
        <v>1</v>
      </c>
      <c r="C24" s="24" t="n">
        <v>0</v>
      </c>
      <c r="D24" s="24" t="n">
        <v>0</v>
      </c>
      <c r="E24" s="24" t="s">
        <v>3060</v>
      </c>
      <c r="F24" s="25" t="s">
        <v>3082</v>
      </c>
      <c r="G24" s="25" t="s">
        <v>3083</v>
      </c>
    </row>
    <row r="25" customFormat="false" ht="25.5" hidden="false" customHeight="true" outlineLevel="0" collapsed="false">
      <c r="A25" s="23"/>
      <c r="B25" s="24"/>
      <c r="C25" s="24"/>
      <c r="D25" s="24"/>
      <c r="E25" s="24"/>
      <c r="F25" s="25"/>
      <c r="G25" s="25"/>
    </row>
    <row r="26" customFormat="false" ht="25.5" hidden="false" customHeight="true" outlineLevel="0" collapsed="false">
      <c r="A26" s="23" t="s">
        <v>3084</v>
      </c>
      <c r="B26" s="24"/>
      <c r="C26" s="24"/>
      <c r="D26" s="24"/>
      <c r="E26" s="24"/>
      <c r="F26" s="25"/>
      <c r="G26" s="25"/>
    </row>
    <row r="27" customFormat="false" ht="25.5" hidden="false" customHeight="true" outlineLevel="0" collapsed="false">
      <c r="A27" s="23" t="s">
        <v>3085</v>
      </c>
      <c r="B27" s="24" t="n">
        <v>2</v>
      </c>
      <c r="C27" s="24" t="n">
        <v>3</v>
      </c>
      <c r="D27" s="24" t="n">
        <v>0</v>
      </c>
      <c r="E27" s="24" t="s">
        <v>3034</v>
      </c>
      <c r="F27" s="25" t="s">
        <v>3086</v>
      </c>
      <c r="G27" s="25" t="s">
        <v>3087</v>
      </c>
    </row>
    <row r="28" customFormat="false" ht="25.5" hidden="false" customHeight="true" outlineLevel="0" collapsed="false">
      <c r="A28" s="23" t="s">
        <v>3088</v>
      </c>
      <c r="B28" s="24" t="n">
        <v>1</v>
      </c>
      <c r="C28" s="24" t="n">
        <v>3</v>
      </c>
      <c r="D28" s="24" t="n">
        <v>0</v>
      </c>
      <c r="E28" s="24" t="s">
        <v>3031</v>
      </c>
      <c r="F28" s="25" t="s">
        <v>3089</v>
      </c>
      <c r="G28" s="25" t="s">
        <v>3090</v>
      </c>
    </row>
    <row r="29" customFormat="false" ht="25.5" hidden="false" customHeight="true" outlineLevel="0" collapsed="false">
      <c r="A29" s="23" t="s">
        <v>3091</v>
      </c>
      <c r="B29" s="24" t="n">
        <v>1</v>
      </c>
      <c r="C29" s="24" t="n">
        <v>1</v>
      </c>
      <c r="D29" s="24" t="n">
        <v>0</v>
      </c>
      <c r="E29" s="24" t="s">
        <v>3050</v>
      </c>
      <c r="F29" s="25" t="s">
        <v>3092</v>
      </c>
      <c r="G29" s="25" t="s">
        <v>3093</v>
      </c>
    </row>
    <row r="30" customFormat="false" ht="25.5" hidden="false" customHeight="true" outlineLevel="0" collapsed="false">
      <c r="A30" s="23" t="s">
        <v>3094</v>
      </c>
      <c r="B30" s="24" t="n">
        <v>0</v>
      </c>
      <c r="C30" s="24" t="n">
        <v>0</v>
      </c>
      <c r="D30" s="24" t="n">
        <v>1</v>
      </c>
      <c r="E30" s="24" t="s">
        <v>3060</v>
      </c>
      <c r="F30" s="25" t="s">
        <v>3095</v>
      </c>
      <c r="G30" s="25" t="s">
        <v>3096</v>
      </c>
    </row>
    <row r="32" customFormat="false" ht="39.75" hidden="false" customHeight="true" outlineLevel="0" collapsed="false">
      <c r="A32" s="35" t="s">
        <v>3097</v>
      </c>
      <c r="B32" s="35"/>
      <c r="C32" s="35"/>
      <c r="D32" s="35"/>
      <c r="E32" s="35"/>
      <c r="F32" s="35"/>
      <c r="G32" s="35"/>
    </row>
  </sheetData>
  <mergeCells count="2">
    <mergeCell ref="A1:G1"/>
    <mergeCell ref="A32:G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21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26"/>
    <col collapsed="false" customWidth="true" hidden="false" outlineLevel="0" max="8" min="8" style="1" width="44"/>
  </cols>
  <sheetData>
    <row r="1" customFormat="false" ht="24" hidden="false" customHeight="true" outlineLevel="0" collapsed="false">
      <c r="A1" s="12" t="s">
        <v>3098</v>
      </c>
      <c r="B1" s="12"/>
      <c r="C1" s="12"/>
      <c r="D1" s="12"/>
      <c r="E1" s="12"/>
      <c r="F1" s="12"/>
      <c r="G1" s="12"/>
      <c r="H1" s="12"/>
    </row>
    <row r="3" customFormat="false" ht="25.5" hidden="false" customHeight="true" outlineLevel="0" collapsed="false">
      <c r="A3" s="17" t="s">
        <v>3099</v>
      </c>
      <c r="B3" s="17" t="s">
        <v>445</v>
      </c>
      <c r="C3" s="17" t="s">
        <v>3100</v>
      </c>
      <c r="D3" s="17" t="s">
        <v>3101</v>
      </c>
      <c r="E3" s="17" t="s">
        <v>3102</v>
      </c>
      <c r="F3" s="17" t="s">
        <v>3103</v>
      </c>
      <c r="G3" s="17" t="s">
        <v>3104</v>
      </c>
      <c r="H3" s="17" t="s">
        <v>3105</v>
      </c>
    </row>
    <row r="4" customFormat="false" ht="27.75" hidden="false" customHeight="true" outlineLevel="0" collapsed="false">
      <c r="A4" s="24" t="s">
        <v>3106</v>
      </c>
      <c r="B4" s="24" t="s">
        <v>3107</v>
      </c>
      <c r="C4" s="25" t="s">
        <v>168</v>
      </c>
      <c r="D4" s="25" t="s">
        <v>3108</v>
      </c>
      <c r="E4" s="24" t="s">
        <v>3109</v>
      </c>
      <c r="F4" s="25" t="s">
        <v>1306</v>
      </c>
      <c r="G4" s="25" t="s">
        <v>1306</v>
      </c>
      <c r="H4" s="25" t="s">
        <v>3110</v>
      </c>
    </row>
    <row r="5" customFormat="false" ht="27.75" hidden="false" customHeight="true" outlineLevel="0" collapsed="false">
      <c r="A5" s="24" t="s">
        <v>3111</v>
      </c>
      <c r="B5" s="24" t="s">
        <v>3107</v>
      </c>
      <c r="C5" s="25" t="s">
        <v>168</v>
      </c>
      <c r="D5" s="25" t="s">
        <v>3112</v>
      </c>
      <c r="E5" s="24" t="s">
        <v>3109</v>
      </c>
      <c r="F5" s="25" t="s">
        <v>1306</v>
      </c>
      <c r="G5" s="25" t="s">
        <v>1306</v>
      </c>
      <c r="H5" s="25" t="s">
        <v>3113</v>
      </c>
    </row>
    <row r="6" customFormat="false" ht="27.75" hidden="false" customHeight="true" outlineLevel="0" collapsed="false">
      <c r="A6" s="24" t="s">
        <v>3114</v>
      </c>
      <c r="B6" s="24" t="s">
        <v>3107</v>
      </c>
      <c r="C6" s="25" t="s">
        <v>150</v>
      </c>
      <c r="D6" s="25" t="s">
        <v>3115</v>
      </c>
      <c r="E6" s="24" t="s">
        <v>3116</v>
      </c>
      <c r="F6" s="25" t="s">
        <v>3117</v>
      </c>
      <c r="G6" s="25" t="s">
        <v>3118</v>
      </c>
      <c r="H6" s="25" t="s">
        <v>3119</v>
      </c>
    </row>
    <row r="7" customFormat="false" ht="27.75" hidden="false" customHeight="true" outlineLevel="0" collapsed="false">
      <c r="A7" s="24" t="s">
        <v>3114</v>
      </c>
      <c r="B7" s="24" t="s">
        <v>3107</v>
      </c>
      <c r="C7" s="25" t="s">
        <v>1082</v>
      </c>
      <c r="D7" s="25" t="s">
        <v>3120</v>
      </c>
      <c r="E7" s="24" t="s">
        <v>3121</v>
      </c>
      <c r="F7" s="25" t="s">
        <v>3122</v>
      </c>
      <c r="G7" s="25" t="s">
        <v>1306</v>
      </c>
      <c r="H7" s="25" t="s">
        <v>3123</v>
      </c>
    </row>
    <row r="8" customFormat="false" ht="27.75" hidden="false" customHeight="true" outlineLevel="0" collapsed="false">
      <c r="A8" s="24" t="s">
        <v>3124</v>
      </c>
      <c r="B8" s="24" t="s">
        <v>3107</v>
      </c>
      <c r="C8" s="25" t="s">
        <v>1077</v>
      </c>
      <c r="D8" s="25" t="s">
        <v>3125</v>
      </c>
      <c r="E8" s="24" t="s">
        <v>3126</v>
      </c>
      <c r="F8" s="25" t="s">
        <v>3127</v>
      </c>
      <c r="G8" s="25" t="s">
        <v>3128</v>
      </c>
      <c r="H8" s="25" t="s">
        <v>3129</v>
      </c>
    </row>
    <row r="9" customFormat="false" ht="27.75" hidden="false" customHeight="true" outlineLevel="0" collapsed="false">
      <c r="A9" s="24" t="s">
        <v>3130</v>
      </c>
      <c r="B9" s="24" t="s">
        <v>3107</v>
      </c>
      <c r="C9" s="25" t="s">
        <v>3131</v>
      </c>
      <c r="D9" s="25" t="s">
        <v>3132</v>
      </c>
      <c r="E9" s="24" t="s">
        <v>3133</v>
      </c>
      <c r="F9" s="25" t="s">
        <v>95</v>
      </c>
      <c r="G9" s="25" t="s">
        <v>30</v>
      </c>
      <c r="H9" s="25"/>
    </row>
    <row r="10" customFormat="false" ht="27.75" hidden="false" customHeight="true" outlineLevel="0" collapsed="false">
      <c r="A10" s="24" t="s">
        <v>3130</v>
      </c>
      <c r="B10" s="24" t="s">
        <v>3107</v>
      </c>
      <c r="C10" s="25" t="s">
        <v>959</v>
      </c>
      <c r="D10" s="25" t="s">
        <v>3134</v>
      </c>
      <c r="E10" s="24" t="s">
        <v>3109</v>
      </c>
      <c r="F10" s="25" t="s">
        <v>1306</v>
      </c>
      <c r="G10" s="25" t="s">
        <v>1306</v>
      </c>
      <c r="H10" s="25" t="s">
        <v>3135</v>
      </c>
    </row>
    <row r="11" customFormat="false" ht="27.75" hidden="false" customHeight="true" outlineLevel="0" collapsed="false">
      <c r="A11" s="24" t="s">
        <v>1521</v>
      </c>
      <c r="B11" s="24" t="s">
        <v>3107</v>
      </c>
      <c r="C11" s="25" t="s">
        <v>131</v>
      </c>
      <c r="D11" s="25" t="s">
        <v>3136</v>
      </c>
      <c r="E11" s="24" t="s">
        <v>3137</v>
      </c>
      <c r="F11" s="25" t="s">
        <v>1306</v>
      </c>
      <c r="G11" s="25" t="s">
        <v>1306</v>
      </c>
      <c r="H11" s="25" t="s">
        <v>3138</v>
      </c>
    </row>
    <row r="12" customFormat="false" ht="27.75" hidden="false" customHeight="true" outlineLevel="0" collapsed="false">
      <c r="A12" s="24" t="s">
        <v>3139</v>
      </c>
      <c r="B12" s="24" t="s">
        <v>3107</v>
      </c>
      <c r="C12" s="25" t="s">
        <v>3140</v>
      </c>
      <c r="D12" s="25" t="s">
        <v>3141</v>
      </c>
      <c r="E12" s="24" t="s">
        <v>3142</v>
      </c>
      <c r="F12" s="25" t="s">
        <v>50</v>
      </c>
      <c r="G12" s="25" t="s">
        <v>18</v>
      </c>
      <c r="H12" s="25" t="s">
        <v>3143</v>
      </c>
    </row>
    <row r="13" customFormat="false" ht="27.75" hidden="false" customHeight="true" outlineLevel="0" collapsed="false">
      <c r="A13" s="24" t="s">
        <v>3139</v>
      </c>
      <c r="B13" s="24" t="s">
        <v>3107</v>
      </c>
      <c r="C13" s="25" t="s">
        <v>174</v>
      </c>
      <c r="D13" s="25" t="s">
        <v>3144</v>
      </c>
      <c r="E13" s="24" t="s">
        <v>3145</v>
      </c>
      <c r="F13" s="25" t="s">
        <v>3146</v>
      </c>
      <c r="G13" s="25" t="s">
        <v>1306</v>
      </c>
      <c r="H13" s="25" t="s">
        <v>3147</v>
      </c>
    </row>
    <row r="14" customFormat="false" ht="27.75" hidden="false" customHeight="true" outlineLevel="0" collapsed="false">
      <c r="A14" s="24" t="s">
        <v>3148</v>
      </c>
      <c r="B14" s="24" t="s">
        <v>3107</v>
      </c>
      <c r="C14" s="25" t="s">
        <v>138</v>
      </c>
      <c r="D14" s="25" t="s">
        <v>3149</v>
      </c>
      <c r="E14" s="24" t="s">
        <v>3150</v>
      </c>
      <c r="F14" s="25" t="s">
        <v>60</v>
      </c>
      <c r="G14" s="25" t="s">
        <v>1306</v>
      </c>
      <c r="H14" s="25" t="s">
        <v>3151</v>
      </c>
    </row>
    <row r="15" customFormat="false" ht="27.75" hidden="false" customHeight="true" outlineLevel="0" collapsed="false">
      <c r="A15" s="24" t="s">
        <v>3152</v>
      </c>
      <c r="B15" s="24" t="s">
        <v>3107</v>
      </c>
      <c r="C15" s="25" t="s">
        <v>125</v>
      </c>
      <c r="D15" s="25" t="s">
        <v>3153</v>
      </c>
      <c r="E15" s="24" t="s">
        <v>3154</v>
      </c>
      <c r="F15" s="25" t="s">
        <v>60</v>
      </c>
      <c r="G15" s="25" t="s">
        <v>1306</v>
      </c>
      <c r="H15" s="25" t="s">
        <v>3155</v>
      </c>
    </row>
    <row r="16" customFormat="false" ht="27.75" hidden="false" customHeight="true" outlineLevel="0" collapsed="false">
      <c r="A16" s="24" t="s">
        <v>3152</v>
      </c>
      <c r="B16" s="24" t="s">
        <v>3107</v>
      </c>
      <c r="C16" s="25" t="s">
        <v>150</v>
      </c>
      <c r="D16" s="25" t="s">
        <v>3156</v>
      </c>
      <c r="E16" s="24" t="s">
        <v>3157</v>
      </c>
      <c r="F16" s="25" t="s">
        <v>60</v>
      </c>
      <c r="G16" s="25" t="s">
        <v>3091</v>
      </c>
      <c r="H16" s="25" t="s">
        <v>3158</v>
      </c>
    </row>
    <row r="17" customFormat="false" ht="27.75" hidden="false" customHeight="true" outlineLevel="0" collapsed="false">
      <c r="A17" s="24" t="s">
        <v>3159</v>
      </c>
      <c r="B17" s="24" t="s">
        <v>3107</v>
      </c>
      <c r="C17" s="25" t="s">
        <v>3160</v>
      </c>
      <c r="D17" s="25" t="s">
        <v>1090</v>
      </c>
      <c r="E17" s="24" t="s">
        <v>3161</v>
      </c>
      <c r="F17" s="25" t="s">
        <v>3162</v>
      </c>
      <c r="G17" s="25" t="s">
        <v>3085</v>
      </c>
      <c r="H17" s="25" t="s">
        <v>3163</v>
      </c>
    </row>
    <row r="18" customFormat="false" ht="27.75" hidden="false" customHeight="true" outlineLevel="0" collapsed="false">
      <c r="A18" s="24" t="s">
        <v>3159</v>
      </c>
      <c r="B18" s="24" t="s">
        <v>3107</v>
      </c>
      <c r="C18" s="25" t="s">
        <v>168</v>
      </c>
      <c r="D18" s="25" t="s">
        <v>3164</v>
      </c>
      <c r="E18" s="24" t="s">
        <v>3165</v>
      </c>
      <c r="F18" s="25" t="s">
        <v>1306</v>
      </c>
      <c r="G18" s="25" t="s">
        <v>1306</v>
      </c>
      <c r="H18" s="25" t="s">
        <v>3166</v>
      </c>
    </row>
    <row r="19" customFormat="false" ht="27.75" hidden="false" customHeight="true" outlineLevel="0" collapsed="false">
      <c r="A19" s="24" t="s">
        <v>3167</v>
      </c>
      <c r="B19" s="24" t="s">
        <v>3107</v>
      </c>
      <c r="C19" s="25" t="s">
        <v>138</v>
      </c>
      <c r="D19" s="25" t="s">
        <v>3168</v>
      </c>
      <c r="E19" s="24" t="s">
        <v>3116</v>
      </c>
      <c r="F19" s="25" t="s">
        <v>1306</v>
      </c>
      <c r="G19" s="25" t="s">
        <v>1306</v>
      </c>
      <c r="H19" s="25"/>
    </row>
    <row r="20" customFormat="false" ht="27.75" hidden="false" customHeight="true" outlineLevel="0" collapsed="false">
      <c r="A20" s="24" t="s">
        <v>3169</v>
      </c>
      <c r="B20" s="24" t="s">
        <v>3107</v>
      </c>
      <c r="C20" s="25" t="s">
        <v>3170</v>
      </c>
      <c r="D20" s="25" t="s">
        <v>3171</v>
      </c>
      <c r="E20" s="24" t="s">
        <v>3109</v>
      </c>
      <c r="F20" s="25" t="s">
        <v>3117</v>
      </c>
      <c r="G20" s="25" t="s">
        <v>1306</v>
      </c>
      <c r="H20" s="25" t="s">
        <v>3172</v>
      </c>
    </row>
    <row r="21" customFormat="false" ht="27.75" hidden="false" customHeight="true" outlineLevel="0" collapsed="false">
      <c r="A21" s="24" t="s">
        <v>3173</v>
      </c>
      <c r="B21" s="24" t="s">
        <v>3107</v>
      </c>
      <c r="C21" s="25" t="s">
        <v>138</v>
      </c>
      <c r="D21" s="25" t="s">
        <v>3174</v>
      </c>
      <c r="E21" s="24" t="s">
        <v>3175</v>
      </c>
      <c r="F21" s="25" t="s">
        <v>3176</v>
      </c>
      <c r="G21" s="25" t="s">
        <v>1306</v>
      </c>
      <c r="H21" s="25" t="s">
        <v>3177</v>
      </c>
    </row>
    <row r="22" customFormat="false" ht="27.75" hidden="false" customHeight="true" outlineLevel="0" collapsed="false">
      <c r="A22" s="24" t="s">
        <v>3173</v>
      </c>
      <c r="B22" s="24" t="s">
        <v>3107</v>
      </c>
      <c r="C22" s="25" t="s">
        <v>125</v>
      </c>
      <c r="D22" s="25" t="s">
        <v>3178</v>
      </c>
      <c r="E22" s="24" t="s">
        <v>3179</v>
      </c>
      <c r="F22" s="25" t="s">
        <v>1306</v>
      </c>
      <c r="G22" s="25" t="s">
        <v>1306</v>
      </c>
      <c r="H22" s="25" t="s">
        <v>3180</v>
      </c>
    </row>
    <row r="23" customFormat="false" ht="27.75" hidden="false" customHeight="true" outlineLevel="0" collapsed="false">
      <c r="A23" s="24" t="s">
        <v>3173</v>
      </c>
      <c r="B23" s="24" t="s">
        <v>3107</v>
      </c>
      <c r="C23" s="25" t="s">
        <v>3140</v>
      </c>
      <c r="D23" s="25" t="s">
        <v>3181</v>
      </c>
      <c r="E23" s="24" t="s">
        <v>3182</v>
      </c>
      <c r="F23" s="25" t="s">
        <v>1306</v>
      </c>
      <c r="G23" s="25" t="s">
        <v>1306</v>
      </c>
      <c r="H23" s="25"/>
    </row>
    <row r="24" customFormat="false" ht="27.75" hidden="false" customHeight="true" outlineLevel="0" collapsed="false">
      <c r="A24" s="24" t="s">
        <v>3183</v>
      </c>
      <c r="B24" s="24" t="s">
        <v>3107</v>
      </c>
      <c r="C24" s="25" t="s">
        <v>3184</v>
      </c>
      <c r="D24" s="25" t="s">
        <v>3185</v>
      </c>
      <c r="E24" s="24" t="s">
        <v>3186</v>
      </c>
      <c r="F24" s="25" t="s">
        <v>3187</v>
      </c>
      <c r="G24" s="25" t="s">
        <v>1306</v>
      </c>
      <c r="H24" s="25"/>
    </row>
    <row r="25" customFormat="false" ht="27.75" hidden="false" customHeight="true" outlineLevel="0" collapsed="false">
      <c r="A25" s="24" t="s">
        <v>3188</v>
      </c>
      <c r="B25" s="24" t="s">
        <v>3107</v>
      </c>
      <c r="C25" s="25" t="s">
        <v>3189</v>
      </c>
      <c r="D25" s="25" t="s">
        <v>3190</v>
      </c>
      <c r="E25" s="24" t="s">
        <v>3109</v>
      </c>
      <c r="F25" s="25" t="s">
        <v>1306</v>
      </c>
      <c r="G25" s="25" t="s">
        <v>1306</v>
      </c>
      <c r="H25" s="25"/>
    </row>
    <row r="26" customFormat="false" ht="27.75" hidden="false" customHeight="true" outlineLevel="0" collapsed="false">
      <c r="A26" s="24" t="s">
        <v>3191</v>
      </c>
      <c r="B26" s="24" t="s">
        <v>3107</v>
      </c>
      <c r="C26" s="25" t="s">
        <v>144</v>
      </c>
      <c r="D26" s="25" t="s">
        <v>736</v>
      </c>
      <c r="E26" s="24" t="s">
        <v>3192</v>
      </c>
      <c r="F26" s="25" t="s">
        <v>1306</v>
      </c>
      <c r="G26" s="25" t="s">
        <v>1306</v>
      </c>
      <c r="H26" s="25" t="s">
        <v>3193</v>
      </c>
    </row>
    <row r="27" customFormat="false" ht="27.75" hidden="false" customHeight="true" outlineLevel="0" collapsed="false">
      <c r="A27" s="24" t="s">
        <v>3194</v>
      </c>
      <c r="B27" s="24" t="s">
        <v>3107</v>
      </c>
      <c r="C27" s="25" t="s">
        <v>138</v>
      </c>
      <c r="D27" s="25" t="s">
        <v>3195</v>
      </c>
      <c r="E27" s="24" t="s">
        <v>3109</v>
      </c>
      <c r="F27" s="25" t="s">
        <v>1306</v>
      </c>
      <c r="G27" s="25" t="s">
        <v>1306</v>
      </c>
      <c r="H27" s="25" t="s">
        <v>3196</v>
      </c>
    </row>
    <row r="28" customFormat="false" ht="27.75" hidden="false" customHeight="true" outlineLevel="0" collapsed="false">
      <c r="A28" s="24" t="s">
        <v>3194</v>
      </c>
      <c r="B28" s="24" t="s">
        <v>3107</v>
      </c>
      <c r="C28" s="25" t="s">
        <v>3189</v>
      </c>
      <c r="D28" s="25" t="s">
        <v>3197</v>
      </c>
      <c r="E28" s="24" t="s">
        <v>3198</v>
      </c>
      <c r="F28" s="25" t="s">
        <v>3199</v>
      </c>
      <c r="G28" s="25" t="s">
        <v>1306</v>
      </c>
      <c r="H28" s="25" t="s">
        <v>3200</v>
      </c>
    </row>
    <row r="29" customFormat="false" ht="27.75" hidden="false" customHeight="true" outlineLevel="0" collapsed="false">
      <c r="A29" s="24" t="s">
        <v>3194</v>
      </c>
      <c r="B29" s="24" t="s">
        <v>3107</v>
      </c>
      <c r="C29" s="25" t="s">
        <v>3201</v>
      </c>
      <c r="D29" s="25" t="s">
        <v>3202</v>
      </c>
      <c r="E29" s="24" t="s">
        <v>3142</v>
      </c>
      <c r="F29" s="25" t="s">
        <v>3203</v>
      </c>
      <c r="G29" s="25" t="s">
        <v>3204</v>
      </c>
      <c r="H29" s="25" t="s">
        <v>3205</v>
      </c>
    </row>
    <row r="30" customFormat="false" ht="27.75" hidden="false" customHeight="true" outlineLevel="0" collapsed="false">
      <c r="A30" s="24" t="s">
        <v>3206</v>
      </c>
      <c r="B30" s="24" t="s">
        <v>3107</v>
      </c>
      <c r="C30" s="25" t="s">
        <v>573</v>
      </c>
      <c r="D30" s="25" t="s">
        <v>3207</v>
      </c>
      <c r="E30" s="24" t="s">
        <v>3208</v>
      </c>
      <c r="F30" s="25" t="s">
        <v>3209</v>
      </c>
      <c r="G30" s="25" t="s">
        <v>3210</v>
      </c>
      <c r="H30" s="25" t="s">
        <v>3211</v>
      </c>
    </row>
    <row r="31" customFormat="false" ht="27.75" hidden="false" customHeight="true" outlineLevel="0" collapsed="false">
      <c r="A31" s="24" t="s">
        <v>3206</v>
      </c>
      <c r="B31" s="24" t="s">
        <v>3107</v>
      </c>
      <c r="C31" s="25" t="s">
        <v>3189</v>
      </c>
      <c r="D31" s="25" t="s">
        <v>3212</v>
      </c>
      <c r="E31" s="24" t="s">
        <v>3213</v>
      </c>
      <c r="F31" s="25" t="s">
        <v>3214</v>
      </c>
      <c r="G31" s="25" t="s">
        <v>18</v>
      </c>
      <c r="H31" s="25" t="s">
        <v>3215</v>
      </c>
    </row>
    <row r="32" customFormat="false" ht="27.75" hidden="false" customHeight="true" outlineLevel="0" collapsed="false">
      <c r="A32" s="24" t="s">
        <v>3206</v>
      </c>
      <c r="B32" s="24" t="s">
        <v>3107</v>
      </c>
      <c r="C32" s="25" t="s">
        <v>1182</v>
      </c>
      <c r="D32" s="25" t="s">
        <v>3216</v>
      </c>
      <c r="E32" s="24" t="s">
        <v>3109</v>
      </c>
      <c r="F32" s="25" t="s">
        <v>1306</v>
      </c>
      <c r="G32" s="25" t="s">
        <v>1306</v>
      </c>
      <c r="H32" s="25" t="s">
        <v>3217</v>
      </c>
    </row>
    <row r="33" customFormat="false" ht="27.75" hidden="false" customHeight="true" outlineLevel="0" collapsed="false">
      <c r="A33" s="24" t="s">
        <v>3218</v>
      </c>
      <c r="B33" s="24" t="s">
        <v>3107</v>
      </c>
      <c r="C33" s="25" t="s">
        <v>161</v>
      </c>
      <c r="D33" s="25" t="s">
        <v>3219</v>
      </c>
      <c r="E33" s="24" t="s">
        <v>3220</v>
      </c>
      <c r="F33" s="25" t="s">
        <v>50</v>
      </c>
      <c r="G33" s="25" t="s">
        <v>3221</v>
      </c>
      <c r="H33" s="25" t="s">
        <v>3222</v>
      </c>
    </row>
    <row r="34" customFormat="false" ht="27.75" hidden="false" customHeight="true" outlineLevel="0" collapsed="false">
      <c r="A34" s="24" t="s">
        <v>3218</v>
      </c>
      <c r="B34" s="24" t="s">
        <v>3107</v>
      </c>
      <c r="C34" s="25" t="s">
        <v>3223</v>
      </c>
      <c r="D34" s="25" t="s">
        <v>3224</v>
      </c>
      <c r="E34" s="24" t="s">
        <v>3225</v>
      </c>
      <c r="F34" s="25" t="s">
        <v>1306</v>
      </c>
      <c r="G34" s="25" t="s">
        <v>1306</v>
      </c>
      <c r="H34" s="25" t="s">
        <v>3226</v>
      </c>
    </row>
    <row r="35" customFormat="false" ht="27.75" hidden="false" customHeight="true" outlineLevel="0" collapsed="false">
      <c r="A35" s="24" t="s">
        <v>3227</v>
      </c>
      <c r="B35" s="24" t="s">
        <v>3107</v>
      </c>
      <c r="C35" s="25" t="s">
        <v>3228</v>
      </c>
      <c r="D35" s="25" t="s">
        <v>3229</v>
      </c>
      <c r="E35" s="24" t="s">
        <v>3230</v>
      </c>
      <c r="F35" s="25" t="s">
        <v>1306</v>
      </c>
      <c r="G35" s="25" t="s">
        <v>1306</v>
      </c>
      <c r="H35" s="25" t="s">
        <v>3231</v>
      </c>
    </row>
    <row r="36" customFormat="false" ht="27.75" hidden="false" customHeight="true" outlineLevel="0" collapsed="false">
      <c r="A36" s="24" t="s">
        <v>3227</v>
      </c>
      <c r="B36" s="24" t="s">
        <v>3107</v>
      </c>
      <c r="C36" s="25" t="s">
        <v>3189</v>
      </c>
      <c r="D36" s="25" t="s">
        <v>3232</v>
      </c>
      <c r="E36" s="24" t="s">
        <v>3109</v>
      </c>
      <c r="F36" s="25" t="s">
        <v>3233</v>
      </c>
      <c r="G36" s="25" t="s">
        <v>1306</v>
      </c>
      <c r="H36" s="25"/>
    </row>
    <row r="37" customFormat="false" ht="27.75" hidden="false" customHeight="true" outlineLevel="0" collapsed="false">
      <c r="A37" s="24" t="s">
        <v>3234</v>
      </c>
      <c r="B37" s="24" t="s">
        <v>3107</v>
      </c>
      <c r="C37" s="25" t="s">
        <v>3235</v>
      </c>
      <c r="D37" s="25" t="s">
        <v>3236</v>
      </c>
      <c r="E37" s="24" t="s">
        <v>3109</v>
      </c>
      <c r="F37" s="25" t="s">
        <v>1306</v>
      </c>
      <c r="G37" s="25" t="s">
        <v>1306</v>
      </c>
      <c r="H37" s="25"/>
    </row>
    <row r="38" customFormat="false" ht="27.75" hidden="false" customHeight="true" outlineLevel="0" collapsed="false">
      <c r="A38" s="24" t="s">
        <v>3234</v>
      </c>
      <c r="B38" s="24" t="s">
        <v>3237</v>
      </c>
      <c r="C38" s="25" t="s">
        <v>3085</v>
      </c>
      <c r="D38" s="25" t="s">
        <v>3238</v>
      </c>
      <c r="E38" s="24" t="s">
        <v>3239</v>
      </c>
      <c r="F38" s="25" t="s">
        <v>3118</v>
      </c>
      <c r="G38" s="25" t="s">
        <v>3240</v>
      </c>
      <c r="H38" s="25" t="s">
        <v>3241</v>
      </c>
    </row>
    <row r="39" customFormat="false" ht="27.75" hidden="false" customHeight="true" outlineLevel="0" collapsed="false">
      <c r="A39" s="24" t="s">
        <v>3242</v>
      </c>
      <c r="B39" s="24" t="s">
        <v>3243</v>
      </c>
      <c r="C39" s="25" t="s">
        <v>3244</v>
      </c>
      <c r="D39" s="25" t="s">
        <v>1090</v>
      </c>
      <c r="E39" s="24" t="s">
        <v>37</v>
      </c>
      <c r="F39" s="25" t="s">
        <v>3245</v>
      </c>
      <c r="G39" s="25" t="s">
        <v>37</v>
      </c>
      <c r="H39" s="25" t="s">
        <v>3246</v>
      </c>
    </row>
    <row r="40" customFormat="false" ht="27.75" hidden="false" customHeight="true" outlineLevel="0" collapsed="false">
      <c r="A40" s="24" t="s">
        <v>3242</v>
      </c>
      <c r="B40" s="24" t="s">
        <v>3243</v>
      </c>
      <c r="C40" s="25" t="s">
        <v>3244</v>
      </c>
      <c r="D40" s="25" t="s">
        <v>3247</v>
      </c>
      <c r="E40" s="24" t="s">
        <v>37</v>
      </c>
      <c r="F40" s="25" t="s">
        <v>3248</v>
      </c>
      <c r="G40" s="25" t="s">
        <v>3249</v>
      </c>
      <c r="H40" s="25" t="s">
        <v>3250</v>
      </c>
    </row>
    <row r="41" customFormat="false" ht="27.75" hidden="false" customHeight="true" outlineLevel="0" collapsed="false">
      <c r="A41" s="24" t="s">
        <v>3130</v>
      </c>
      <c r="B41" s="24" t="s">
        <v>3243</v>
      </c>
      <c r="C41" s="25" t="s">
        <v>3251</v>
      </c>
      <c r="D41" s="25" t="s">
        <v>3252</v>
      </c>
      <c r="E41" s="24" t="s">
        <v>37</v>
      </c>
      <c r="F41" s="25" t="s">
        <v>3253</v>
      </c>
      <c r="G41" s="25" t="s">
        <v>3254</v>
      </c>
      <c r="H41" s="25" t="s">
        <v>3255</v>
      </c>
    </row>
    <row r="42" customFormat="false" ht="27.75" hidden="false" customHeight="true" outlineLevel="0" collapsed="false">
      <c r="A42" s="24" t="s">
        <v>1521</v>
      </c>
      <c r="B42" s="24" t="s">
        <v>3243</v>
      </c>
      <c r="C42" s="25" t="s">
        <v>3256</v>
      </c>
      <c r="D42" s="25" t="s">
        <v>3257</v>
      </c>
      <c r="E42" s="24" t="s">
        <v>37</v>
      </c>
      <c r="F42" s="25" t="s">
        <v>3258</v>
      </c>
      <c r="G42" s="25" t="s">
        <v>3259</v>
      </c>
      <c r="H42" s="25" t="s">
        <v>3260</v>
      </c>
    </row>
    <row r="43" customFormat="false" ht="27.75" hidden="false" customHeight="true" outlineLevel="0" collapsed="false">
      <c r="A43" s="24" t="s">
        <v>3261</v>
      </c>
      <c r="B43" s="24" t="s">
        <v>3243</v>
      </c>
      <c r="C43" s="25" t="s">
        <v>3262</v>
      </c>
      <c r="D43" s="25" t="s">
        <v>3263</v>
      </c>
      <c r="E43" s="24" t="s">
        <v>37</v>
      </c>
      <c r="F43" s="25" t="s">
        <v>3253</v>
      </c>
      <c r="G43" s="25" t="s">
        <v>37</v>
      </c>
      <c r="H43" s="25" t="s">
        <v>3264</v>
      </c>
    </row>
    <row r="44" customFormat="false" ht="27.75" hidden="false" customHeight="true" outlineLevel="0" collapsed="false">
      <c r="A44" s="24" t="s">
        <v>3261</v>
      </c>
      <c r="B44" s="24" t="s">
        <v>3243</v>
      </c>
      <c r="C44" s="25" t="s">
        <v>3262</v>
      </c>
      <c r="D44" s="25" t="s">
        <v>3265</v>
      </c>
      <c r="E44" s="24" t="s">
        <v>37</v>
      </c>
      <c r="F44" s="25" t="s">
        <v>3253</v>
      </c>
      <c r="G44" s="25" t="s">
        <v>37</v>
      </c>
      <c r="H44" s="25" t="s">
        <v>3266</v>
      </c>
    </row>
    <row r="45" customFormat="false" ht="27.75" hidden="false" customHeight="true" outlineLevel="0" collapsed="false">
      <c r="A45" s="24" t="s">
        <v>3148</v>
      </c>
      <c r="B45" s="24" t="s">
        <v>3267</v>
      </c>
      <c r="C45" s="25" t="s">
        <v>3268</v>
      </c>
      <c r="D45" s="25" t="s">
        <v>3269</v>
      </c>
      <c r="E45" s="24" t="s">
        <v>37</v>
      </c>
      <c r="F45" s="25" t="s">
        <v>3270</v>
      </c>
      <c r="G45" s="25" t="s">
        <v>37</v>
      </c>
      <c r="H45" s="25" t="s">
        <v>3271</v>
      </c>
    </row>
    <row r="46" customFormat="false" ht="27.75" hidden="false" customHeight="true" outlineLevel="0" collapsed="false">
      <c r="A46" s="24" t="s">
        <v>3272</v>
      </c>
      <c r="B46" s="24" t="s">
        <v>3267</v>
      </c>
      <c r="C46" s="25" t="s">
        <v>3273</v>
      </c>
      <c r="D46" s="25" t="s">
        <v>3274</v>
      </c>
      <c r="E46" s="24" t="s">
        <v>3275</v>
      </c>
      <c r="F46" s="25" t="s">
        <v>3276</v>
      </c>
      <c r="G46" s="25" t="s">
        <v>37</v>
      </c>
      <c r="H46" s="25" t="s">
        <v>3277</v>
      </c>
    </row>
    <row r="47" customFormat="false" ht="27.75" hidden="false" customHeight="true" outlineLevel="0" collapsed="false">
      <c r="A47" s="24" t="s">
        <v>3278</v>
      </c>
      <c r="B47" s="24" t="s">
        <v>3267</v>
      </c>
      <c r="C47" s="25" t="s">
        <v>3279</v>
      </c>
      <c r="D47" s="25" t="s">
        <v>3280</v>
      </c>
      <c r="E47" s="24" t="s">
        <v>3281</v>
      </c>
      <c r="F47" s="25" t="s">
        <v>3282</v>
      </c>
      <c r="G47" s="25" t="s">
        <v>37</v>
      </c>
      <c r="H47" s="25" t="s">
        <v>3283</v>
      </c>
    </row>
    <row r="48" customFormat="false" ht="27.75" hidden="false" customHeight="true" outlineLevel="0" collapsed="false">
      <c r="A48" s="24" t="s">
        <v>3169</v>
      </c>
      <c r="B48" s="24" t="s">
        <v>3267</v>
      </c>
      <c r="C48" s="25" t="s">
        <v>3284</v>
      </c>
      <c r="D48" s="25" t="s">
        <v>3285</v>
      </c>
      <c r="E48" s="24" t="s">
        <v>3286</v>
      </c>
      <c r="F48" s="25" t="s">
        <v>3287</v>
      </c>
      <c r="G48" s="25" t="s">
        <v>54</v>
      </c>
      <c r="H48" s="25" t="s">
        <v>3288</v>
      </c>
    </row>
    <row r="49" customFormat="false" ht="27.75" hidden="false" customHeight="true" outlineLevel="0" collapsed="false">
      <c r="A49" s="24" t="s">
        <v>3173</v>
      </c>
      <c r="B49" s="24" t="s">
        <v>3267</v>
      </c>
      <c r="C49" s="25" t="s">
        <v>3289</v>
      </c>
      <c r="D49" s="25" t="s">
        <v>1010</v>
      </c>
      <c r="E49" s="24" t="s">
        <v>3290</v>
      </c>
      <c r="F49" s="25" t="s">
        <v>3291</v>
      </c>
      <c r="G49" s="25" t="s">
        <v>3292</v>
      </c>
      <c r="H49" s="25" t="s">
        <v>3293</v>
      </c>
    </row>
    <row r="51" customFormat="false" ht="30" hidden="false" customHeight="true" outlineLevel="0" collapsed="false">
      <c r="A51" s="35" t="s">
        <v>3294</v>
      </c>
      <c r="B51" s="35"/>
      <c r="C51" s="35"/>
      <c r="D51" s="35"/>
      <c r="E51" s="35"/>
      <c r="F51" s="35"/>
      <c r="G51" s="35"/>
      <c r="H51" s="35"/>
    </row>
  </sheetData>
  <autoFilter ref="A3:H49"/>
  <mergeCells count="2">
    <mergeCell ref="A1:H1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20"/>
    <col collapsed="false" customWidth="true" hidden="false" outlineLevel="0" max="5" min="5" style="1" width="5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28"/>
  </cols>
  <sheetData>
    <row r="1" customFormat="false" ht="24" hidden="false" customHeight="true" outlineLevel="0" collapsed="false">
      <c r="A1" s="2" t="s">
        <v>3295</v>
      </c>
    </row>
    <row r="2" customFormat="false" ht="15.75" hidden="false" customHeight="true" outlineLevel="0" collapsed="false">
      <c r="A2" s="3" t="s">
        <v>3296</v>
      </c>
    </row>
    <row r="3" customFormat="false" ht="13.5" hidden="false" customHeight="true" outlineLevel="0" collapsed="false">
      <c r="A3" s="4" t="s">
        <v>3297</v>
      </c>
    </row>
    <row r="4" customFormat="false" ht="6" hidden="false" customHeight="true" outlineLevel="0" collapsed="false"/>
    <row r="5" customFormat="false" ht="27.75" hidden="false" customHeight="true" outlineLevel="0" collapsed="false">
      <c r="A5" s="7" t="s">
        <v>3298</v>
      </c>
      <c r="B5" s="7" t="s">
        <v>1220</v>
      </c>
      <c r="C5" s="7" t="s">
        <v>3299</v>
      </c>
      <c r="D5" s="7" t="s">
        <v>3300</v>
      </c>
      <c r="E5" s="7" t="s">
        <v>3301</v>
      </c>
      <c r="F5" s="7" t="s">
        <v>14</v>
      </c>
      <c r="G5" s="7" t="s">
        <v>3302</v>
      </c>
      <c r="H5" s="7" t="s">
        <v>390</v>
      </c>
    </row>
    <row r="6" customFormat="false" ht="23.25" hidden="false" customHeight="true" outlineLevel="0" collapsed="false">
      <c r="A6" s="8" t="s">
        <v>3303</v>
      </c>
      <c r="B6" s="9" t="s">
        <v>3304</v>
      </c>
      <c r="C6" s="9" t="s">
        <v>3305</v>
      </c>
      <c r="D6" s="9" t="s">
        <v>3306</v>
      </c>
      <c r="E6" s="9" t="s">
        <v>3307</v>
      </c>
      <c r="F6" s="9" t="s">
        <v>3308</v>
      </c>
      <c r="G6" s="43"/>
      <c r="H6" s="43"/>
    </row>
    <row r="7" customFormat="false" ht="23.25" hidden="false" customHeight="true" outlineLevel="0" collapsed="false">
      <c r="A7" s="8" t="s">
        <v>3309</v>
      </c>
      <c r="B7" s="9" t="s">
        <v>3304</v>
      </c>
      <c r="C7" s="9" t="s">
        <v>3310</v>
      </c>
      <c r="D7" s="9" t="s">
        <v>3311</v>
      </c>
      <c r="E7" s="9" t="s">
        <v>3312</v>
      </c>
      <c r="F7" s="9" t="s">
        <v>3308</v>
      </c>
      <c r="G7" s="43"/>
      <c r="H7" s="43"/>
    </row>
    <row r="8" customFormat="false" ht="23.25" hidden="false" customHeight="true" outlineLevel="0" collapsed="false">
      <c r="A8" s="8" t="s">
        <v>3313</v>
      </c>
      <c r="B8" s="9" t="s">
        <v>3304</v>
      </c>
      <c r="C8" s="9" t="s">
        <v>3314</v>
      </c>
      <c r="D8" s="9" t="s">
        <v>3315</v>
      </c>
      <c r="E8" s="9" t="s">
        <v>3316</v>
      </c>
      <c r="F8" s="9" t="s">
        <v>3308</v>
      </c>
      <c r="G8" s="43"/>
      <c r="H8" s="43"/>
    </row>
    <row r="9" customFormat="false" ht="15" hidden="false" customHeight="true" outlineLevel="0" collapsed="false">
      <c r="A9" s="8" t="s">
        <v>3317</v>
      </c>
      <c r="B9" s="9" t="s">
        <v>3304</v>
      </c>
      <c r="C9" s="9" t="s">
        <v>3318</v>
      </c>
      <c r="D9" s="9" t="s">
        <v>3319</v>
      </c>
      <c r="E9" s="9" t="s">
        <v>3320</v>
      </c>
      <c r="F9" s="9" t="s">
        <v>3308</v>
      </c>
      <c r="G9" s="43"/>
      <c r="H9" s="43"/>
    </row>
    <row r="10" customFormat="false" ht="23.25" hidden="false" customHeight="true" outlineLevel="0" collapsed="false">
      <c r="A10" s="8" t="s">
        <v>3321</v>
      </c>
      <c r="B10" s="9" t="s">
        <v>3322</v>
      </c>
      <c r="C10" s="9" t="s">
        <v>79</v>
      </c>
      <c r="D10" s="9" t="s">
        <v>3323</v>
      </c>
      <c r="E10" s="9" t="s">
        <v>3324</v>
      </c>
      <c r="F10" s="9" t="s">
        <v>3308</v>
      </c>
      <c r="G10" s="43"/>
      <c r="H10" s="43"/>
    </row>
    <row r="11" customFormat="false" ht="23.25" hidden="false" customHeight="true" outlineLevel="0" collapsed="false">
      <c r="A11" s="8" t="s">
        <v>3325</v>
      </c>
      <c r="B11" s="9" t="s">
        <v>3322</v>
      </c>
      <c r="C11" s="9" t="s">
        <v>255</v>
      </c>
      <c r="D11" s="9" t="s">
        <v>3326</v>
      </c>
      <c r="E11" s="9" t="s">
        <v>3327</v>
      </c>
      <c r="F11" s="9" t="s">
        <v>3308</v>
      </c>
      <c r="G11" s="43"/>
      <c r="H11" s="43"/>
    </row>
    <row r="12" customFormat="false" ht="23.25" hidden="false" customHeight="true" outlineLevel="0" collapsed="false">
      <c r="A12" s="8" t="s">
        <v>3328</v>
      </c>
      <c r="B12" s="9" t="s">
        <v>2695</v>
      </c>
      <c r="C12" s="9" t="s">
        <v>3329</v>
      </c>
      <c r="D12" s="9" t="s">
        <v>3326</v>
      </c>
      <c r="E12" s="9" t="s">
        <v>3330</v>
      </c>
      <c r="F12" s="9" t="s">
        <v>3308</v>
      </c>
      <c r="G12" s="43"/>
      <c r="H12" s="43"/>
    </row>
    <row r="13" customFormat="false" ht="15" hidden="false" customHeight="true" outlineLevel="0" collapsed="false">
      <c r="A13" s="8" t="s">
        <v>3331</v>
      </c>
      <c r="B13" s="9" t="s">
        <v>2695</v>
      </c>
      <c r="C13" s="9" t="s">
        <v>264</v>
      </c>
      <c r="D13" s="9" t="s">
        <v>3332</v>
      </c>
      <c r="E13" s="9" t="s">
        <v>3333</v>
      </c>
      <c r="F13" s="9" t="s">
        <v>3334</v>
      </c>
      <c r="G13" s="43"/>
      <c r="H13" s="43"/>
    </row>
    <row r="14" customFormat="false" ht="15" hidden="false" customHeight="true" outlineLevel="0" collapsed="false">
      <c r="A14" s="8" t="s">
        <v>3335</v>
      </c>
      <c r="B14" s="9" t="s">
        <v>3336</v>
      </c>
      <c r="C14" s="9" t="s">
        <v>296</v>
      </c>
      <c r="D14" s="9" t="s">
        <v>3326</v>
      </c>
      <c r="E14" s="9" t="s">
        <v>3337</v>
      </c>
      <c r="F14" s="9" t="s">
        <v>3334</v>
      </c>
      <c r="G14" s="43"/>
      <c r="H14" s="43"/>
    </row>
    <row r="15" customFormat="false" ht="23.25" hidden="false" customHeight="true" outlineLevel="0" collapsed="false">
      <c r="A15" s="8" t="s">
        <v>3338</v>
      </c>
      <c r="B15" s="9" t="s">
        <v>2695</v>
      </c>
      <c r="C15" s="9" t="s">
        <v>367</v>
      </c>
      <c r="D15" s="9" t="s">
        <v>3339</v>
      </c>
      <c r="E15" s="9" t="s">
        <v>3340</v>
      </c>
      <c r="F15" s="9" t="s">
        <v>3334</v>
      </c>
      <c r="G15" s="43"/>
      <c r="H15" s="43"/>
    </row>
    <row r="16" customFormat="false" ht="15" hidden="false" customHeight="true" outlineLevel="0" collapsed="false">
      <c r="A16" s="8" t="s">
        <v>3341</v>
      </c>
      <c r="B16" s="9" t="s">
        <v>2695</v>
      </c>
      <c r="C16" s="9" t="s">
        <v>1347</v>
      </c>
      <c r="D16" s="9" t="s">
        <v>3342</v>
      </c>
      <c r="E16" s="9" t="s">
        <v>3343</v>
      </c>
      <c r="F16" s="9" t="s">
        <v>3344</v>
      </c>
      <c r="G16" s="43"/>
      <c r="H16" s="43"/>
    </row>
    <row r="17" customFormat="false" ht="15" hidden="false" customHeight="true" outlineLevel="0" collapsed="false">
      <c r="A17" s="8" t="s">
        <v>3345</v>
      </c>
      <c r="B17" s="9" t="s">
        <v>3336</v>
      </c>
      <c r="C17" s="9" t="s">
        <v>274</v>
      </c>
      <c r="D17" s="9" t="s">
        <v>3326</v>
      </c>
      <c r="E17" s="9" t="s">
        <v>3346</v>
      </c>
      <c r="F17" s="9" t="s">
        <v>3334</v>
      </c>
      <c r="G17" s="43"/>
      <c r="H17" s="43"/>
    </row>
    <row r="18" customFormat="false" ht="15" hidden="false" customHeight="true" outlineLevel="0" collapsed="false">
      <c r="A18" s="8" t="s">
        <v>3347</v>
      </c>
      <c r="B18" s="9" t="s">
        <v>2695</v>
      </c>
      <c r="C18" s="9" t="s">
        <v>1644</v>
      </c>
      <c r="D18" s="9" t="s">
        <v>3326</v>
      </c>
      <c r="E18" s="9" t="s">
        <v>3348</v>
      </c>
      <c r="F18" s="9" t="s">
        <v>3344</v>
      </c>
      <c r="G18" s="43"/>
      <c r="H18" s="43"/>
    </row>
    <row r="19" customFormat="false" ht="15" hidden="false" customHeight="true" outlineLevel="0" collapsed="false">
      <c r="A19" s="8" t="s">
        <v>3349</v>
      </c>
      <c r="B19" s="9" t="s">
        <v>3350</v>
      </c>
      <c r="C19" s="9" t="s">
        <v>3351</v>
      </c>
      <c r="D19" s="9" t="s">
        <v>3326</v>
      </c>
      <c r="E19" s="9" t="s">
        <v>3352</v>
      </c>
      <c r="F19" s="9" t="s">
        <v>3334</v>
      </c>
      <c r="G19" s="43"/>
      <c r="H19" s="43"/>
    </row>
    <row r="20" customFormat="false" ht="15" hidden="false" customHeight="true" outlineLevel="0" collapsed="false">
      <c r="A20" s="8" t="s">
        <v>3353</v>
      </c>
      <c r="B20" s="9" t="s">
        <v>3350</v>
      </c>
      <c r="C20" s="9" t="s">
        <v>3354</v>
      </c>
      <c r="D20" s="9" t="s">
        <v>3326</v>
      </c>
      <c r="E20" s="9" t="s">
        <v>3355</v>
      </c>
      <c r="F20" s="9" t="s">
        <v>3334</v>
      </c>
      <c r="G20" s="43"/>
      <c r="H20" s="43"/>
    </row>
    <row r="21" customFormat="false" ht="15" hidden="false" customHeight="true" outlineLevel="0" collapsed="false">
      <c r="A21" s="8" t="s">
        <v>3356</v>
      </c>
      <c r="B21" s="9" t="s">
        <v>3350</v>
      </c>
      <c r="C21" s="9" t="s">
        <v>255</v>
      </c>
      <c r="D21" s="9" t="s">
        <v>3326</v>
      </c>
      <c r="E21" s="9" t="s">
        <v>3357</v>
      </c>
      <c r="F21" s="9" t="s">
        <v>3334</v>
      </c>
      <c r="G21" s="43"/>
      <c r="H21" s="43"/>
    </row>
    <row r="22" customFormat="false" ht="15" hidden="false" customHeight="true" outlineLevel="0" collapsed="false">
      <c r="A22" s="8" t="s">
        <v>2703</v>
      </c>
      <c r="B22" s="9" t="s">
        <v>3350</v>
      </c>
      <c r="C22" s="9" t="s">
        <v>3358</v>
      </c>
      <c r="D22" s="9" t="s">
        <v>3326</v>
      </c>
      <c r="E22" s="9" t="s">
        <v>3359</v>
      </c>
      <c r="F22" s="9" t="s">
        <v>3308</v>
      </c>
      <c r="G22" s="43"/>
      <c r="H22" s="43"/>
    </row>
    <row r="23" customFormat="false" ht="15" hidden="false" customHeight="true" outlineLevel="0" collapsed="false">
      <c r="A23" s="8" t="s">
        <v>3360</v>
      </c>
      <c r="B23" s="9" t="s">
        <v>3350</v>
      </c>
      <c r="C23" s="9" t="s">
        <v>3361</v>
      </c>
      <c r="D23" s="9" t="s">
        <v>3362</v>
      </c>
      <c r="E23" s="9" t="s">
        <v>3363</v>
      </c>
      <c r="F23" s="9" t="s">
        <v>3344</v>
      </c>
      <c r="G23" s="43"/>
      <c r="H23" s="43"/>
    </row>
    <row r="24" customFormat="false" ht="15" hidden="false" customHeight="true" outlineLevel="0" collapsed="false">
      <c r="A24" s="8" t="s">
        <v>3364</v>
      </c>
      <c r="B24" s="9" t="s">
        <v>2695</v>
      </c>
      <c r="C24" s="9" t="s">
        <v>269</v>
      </c>
      <c r="D24" s="9" t="s">
        <v>3326</v>
      </c>
      <c r="E24" s="9" t="s">
        <v>3365</v>
      </c>
      <c r="F24" s="9" t="s">
        <v>3334</v>
      </c>
      <c r="G24" s="43"/>
      <c r="H24" s="43"/>
    </row>
    <row r="25" customFormat="false" ht="15" hidden="false" customHeight="true" outlineLevel="0" collapsed="false">
      <c r="A25" s="8" t="s">
        <v>3366</v>
      </c>
      <c r="B25" s="9" t="s">
        <v>3350</v>
      </c>
      <c r="C25" s="9" t="s">
        <v>286</v>
      </c>
      <c r="D25" s="9" t="s">
        <v>3362</v>
      </c>
      <c r="E25" s="9" t="s">
        <v>3367</v>
      </c>
      <c r="F25" s="9" t="s">
        <v>3344</v>
      </c>
      <c r="G25" s="43"/>
      <c r="H25" s="43"/>
    </row>
    <row r="26" customFormat="false" ht="23.25" hidden="false" customHeight="true" outlineLevel="0" collapsed="false">
      <c r="A26" s="8" t="s">
        <v>3368</v>
      </c>
      <c r="B26" s="9" t="s">
        <v>3369</v>
      </c>
      <c r="C26" s="9" t="s">
        <v>3370</v>
      </c>
      <c r="D26" s="9" t="s">
        <v>3371</v>
      </c>
      <c r="E26" s="9" t="s">
        <v>3372</v>
      </c>
      <c r="F26" s="9" t="s">
        <v>3308</v>
      </c>
      <c r="G26" s="43"/>
      <c r="H26" s="43"/>
    </row>
    <row r="27" customFormat="false" ht="23.25" hidden="false" customHeight="true" outlineLevel="0" collapsed="false">
      <c r="A27" s="8" t="s">
        <v>3373</v>
      </c>
      <c r="B27" s="9" t="s">
        <v>3369</v>
      </c>
      <c r="C27" s="9" t="s">
        <v>3374</v>
      </c>
      <c r="D27" s="9" t="s">
        <v>3375</v>
      </c>
      <c r="E27" s="9" t="s">
        <v>3376</v>
      </c>
      <c r="F27" s="9" t="s">
        <v>3344</v>
      </c>
      <c r="G27" s="43"/>
      <c r="H27" s="43"/>
    </row>
    <row r="28" customFormat="false" ht="15" hidden="false" customHeight="true" outlineLevel="0" collapsed="false">
      <c r="A28" s="8" t="s">
        <v>3377</v>
      </c>
      <c r="B28" s="9" t="s">
        <v>3369</v>
      </c>
      <c r="C28" s="9" t="s">
        <v>2363</v>
      </c>
      <c r="D28" s="9" t="s">
        <v>3375</v>
      </c>
      <c r="E28" s="9" t="s">
        <v>3378</v>
      </c>
      <c r="F28" s="9" t="s">
        <v>3344</v>
      </c>
      <c r="G28" s="43"/>
      <c r="H28" s="43"/>
    </row>
    <row r="29" customFormat="false" ht="15" hidden="false" customHeight="true" outlineLevel="0" collapsed="false">
      <c r="A29" s="8" t="s">
        <v>3379</v>
      </c>
      <c r="B29" s="9" t="s">
        <v>3380</v>
      </c>
      <c r="C29" s="9" t="s">
        <v>260</v>
      </c>
      <c r="D29" s="9" t="s">
        <v>3326</v>
      </c>
      <c r="E29" s="9" t="s">
        <v>3381</v>
      </c>
      <c r="F29" s="9" t="s">
        <v>3334</v>
      </c>
      <c r="G29" s="43"/>
      <c r="H29" s="43"/>
    </row>
    <row r="30" customFormat="false" ht="15" hidden="false" customHeight="true" outlineLevel="0" collapsed="false">
      <c r="A30" s="8" t="s">
        <v>3382</v>
      </c>
      <c r="B30" s="9" t="s">
        <v>3380</v>
      </c>
      <c r="C30" s="9" t="s">
        <v>3383</v>
      </c>
      <c r="D30" s="9" t="s">
        <v>3326</v>
      </c>
      <c r="E30" s="9" t="s">
        <v>3384</v>
      </c>
      <c r="F30" s="9" t="s">
        <v>3344</v>
      </c>
      <c r="G30" s="43"/>
      <c r="H30" s="43"/>
    </row>
    <row r="32" customFormat="false" ht="39.75" hidden="false" customHeight="true" outlineLevel="0" collapsed="false">
      <c r="A32" s="11" t="s">
        <v>3385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ADB"/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6"/>
    <col collapsed="false" customWidth="true" hidden="false" outlineLevel="0" max="3" min="3" style="1" width="62"/>
  </cols>
  <sheetData>
    <row r="1" customFormat="false" ht="24" hidden="false" customHeight="true" outlineLevel="0" collapsed="false">
      <c r="A1" s="12" t="s">
        <v>3386</v>
      </c>
      <c r="B1" s="12"/>
      <c r="C1" s="12"/>
    </row>
    <row r="3" customFormat="false" ht="19.5" hidden="false" customHeight="true" outlineLevel="0" collapsed="false">
      <c r="A3" s="54" t="s">
        <v>3387</v>
      </c>
      <c r="B3" s="54" t="s">
        <v>3388</v>
      </c>
      <c r="C3" s="54" t="s">
        <v>3389</v>
      </c>
    </row>
    <row r="4" customFormat="false" ht="30" hidden="false" customHeight="true" outlineLevel="0" collapsed="false">
      <c r="A4" s="23" t="s">
        <v>3390</v>
      </c>
      <c r="B4" s="25" t="s">
        <v>3391</v>
      </c>
      <c r="C4" s="25" t="s">
        <v>3392</v>
      </c>
    </row>
    <row r="5" customFormat="false" ht="30" hidden="false" customHeight="true" outlineLevel="0" collapsed="false">
      <c r="A5" s="23" t="s">
        <v>3393</v>
      </c>
      <c r="B5" s="25" t="s">
        <v>3394</v>
      </c>
      <c r="C5" s="25" t="s">
        <v>3395</v>
      </c>
    </row>
    <row r="6" customFormat="false" ht="30" hidden="false" customHeight="true" outlineLevel="0" collapsed="false">
      <c r="A6" s="23" t="s">
        <v>3396</v>
      </c>
      <c r="B6" s="25" t="s">
        <v>3397</v>
      </c>
      <c r="C6" s="25" t="s">
        <v>3398</v>
      </c>
    </row>
    <row r="7" customFormat="false" ht="30" hidden="false" customHeight="true" outlineLevel="0" collapsed="false">
      <c r="A7" s="23" t="s">
        <v>3399</v>
      </c>
      <c r="B7" s="25" t="s">
        <v>3400</v>
      </c>
      <c r="C7" s="25" t="s">
        <v>3401</v>
      </c>
    </row>
    <row r="8" customFormat="false" ht="30" hidden="false" customHeight="true" outlineLevel="0" collapsed="false">
      <c r="A8" s="23" t="s">
        <v>3402</v>
      </c>
      <c r="B8" s="25" t="s">
        <v>3403</v>
      </c>
      <c r="C8" s="25" t="s">
        <v>3404</v>
      </c>
    </row>
    <row r="9" customFormat="false" ht="30" hidden="false" customHeight="true" outlineLevel="0" collapsed="false">
      <c r="A9" s="23" t="s">
        <v>3405</v>
      </c>
      <c r="B9" s="25" t="s">
        <v>3406</v>
      </c>
      <c r="C9" s="25" t="s">
        <v>3407</v>
      </c>
    </row>
    <row r="10" customFormat="false" ht="30" hidden="false" customHeight="true" outlineLevel="0" collapsed="false">
      <c r="A10" s="23" t="s">
        <v>3408</v>
      </c>
      <c r="B10" s="25" t="s">
        <v>3409</v>
      </c>
      <c r="C10" s="25" t="s">
        <v>3410</v>
      </c>
    </row>
    <row r="11" customFormat="false" ht="30" hidden="false" customHeight="true" outlineLevel="0" collapsed="false">
      <c r="A11" s="23" t="s">
        <v>3411</v>
      </c>
      <c r="B11" s="25" t="s">
        <v>3412</v>
      </c>
      <c r="C11" s="25" t="s">
        <v>3413</v>
      </c>
    </row>
    <row r="12" customFormat="false" ht="30" hidden="false" customHeight="true" outlineLevel="0" collapsed="false">
      <c r="A12" s="23" t="s">
        <v>3414</v>
      </c>
      <c r="B12" s="25" t="s">
        <v>3415</v>
      </c>
      <c r="C12" s="25" t="s">
        <v>3416</v>
      </c>
    </row>
    <row r="13" customFormat="false" ht="30" hidden="false" customHeight="true" outlineLevel="0" collapsed="false">
      <c r="A13" s="23" t="s">
        <v>3417</v>
      </c>
      <c r="B13" s="25" t="s">
        <v>3418</v>
      </c>
      <c r="C13" s="25" t="s">
        <v>3419</v>
      </c>
    </row>
    <row r="15" customFormat="false" ht="15" hidden="false" customHeight="true" outlineLevel="0" collapsed="false">
      <c r="A15" s="14" t="s">
        <v>3420</v>
      </c>
      <c r="B15" s="14"/>
      <c r="C15" s="14"/>
    </row>
  </sheetData>
  <mergeCells count="2">
    <mergeCell ref="A1:C1"/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2026-08-21T17:53:24Z</dcterms:created>
  <dc:creator>openpyxl</dc:creator>
  <dc:description/>
  <dc:language>en-US</dc:language>
  <cp:lastModifiedBy/>
  <dcterms:modified xsi:type="dcterms:W3CDTF">2026-08-22T17:39:39Z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