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Catalog" sheetId="2" state="visible" r:id="rId4"/>
    <sheet name="Require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<sst xmlns="http://schemas.openxmlformats.org/spreadsheetml/2006/main" count="895" uniqueCount="549">
  <si>
    <t xml:space="preserve">Columbia MBA — Class Plan (Fall 2026 entry)</t>
  </si>
  <si>
    <t xml:space="preserve">Legend: yellow cells are yours to edit (swap courses, set Status). Blue text = hardcoded assumption. Core rows are fixed by the program; elective rows are suggestions from your VC/entrepreneurship + leadership focus — swap freely using the Catalog tab.</t>
  </si>
  <si>
    <t xml:space="preserve">Term</t>
  </si>
  <si>
    <t xml:space="preserve">Code</t>
  </si>
  <si>
    <t xml:space="preserve">Course</t>
  </si>
  <si>
    <t xml:space="preserve">Credits</t>
  </si>
  <si>
    <t xml:space="preserve">Type</t>
  </si>
  <si>
    <t xml:space="preserve">Status</t>
  </si>
  <si>
    <t xml:space="preserve">Notes</t>
  </si>
  <si>
    <t xml:space="preserve">Fall 2026</t>
  </si>
  <si>
    <t xml:space="preserve">B6100</t>
  </si>
  <si>
    <t xml:space="preserve">Managerial Statistics (A-term)</t>
  </si>
  <si>
    <t xml:space="preserve">Core</t>
  </si>
  <si>
    <t xml:space="preserve">Planned</t>
  </si>
  <si>
    <t xml:space="preserve">B6301</t>
  </si>
  <si>
    <t xml:space="preserve">Foundations of Valuation (A-term)</t>
  </si>
  <si>
    <t xml:space="preserve">B6500</t>
  </si>
  <si>
    <t xml:space="preserve">Lead: People, Teams, Organizations (A-term)</t>
  </si>
  <si>
    <t xml:space="preserve">B6601</t>
  </si>
  <si>
    <t xml:space="preserve">Marketing (A-term)</t>
  </si>
  <si>
    <t xml:space="preserve">B6302</t>
  </si>
  <si>
    <t xml:space="preserve">Corporate Finance — Half-Term (B-term)</t>
  </si>
  <si>
    <t xml:space="preserve">Half-term pair with B6301; distinct from full-term B6300</t>
  </si>
  <si>
    <t xml:space="preserve">B6101</t>
  </si>
  <si>
    <t xml:space="preserve">Business Analytics (B-term)</t>
  </si>
  <si>
    <t xml:space="preserve">B6200</t>
  </si>
  <si>
    <t xml:space="preserve">Managerial Economics (B-term)</t>
  </si>
  <si>
    <t xml:space="preserve">B6502</t>
  </si>
  <si>
    <t xml:space="preserve">Strategy Formulation (B-term)</t>
  </si>
  <si>
    <t xml:space="preserve">B6001</t>
  </si>
  <si>
    <t xml:space="preserve">Financial Accounting — EXEMPTED</t>
  </si>
  <si>
    <t xml:space="preserve">Exempted</t>
  </si>
  <si>
    <t xml:space="preserve">Exempt</t>
  </si>
  <si>
    <t xml:space="preserve">Exam-exempted; credits replaced by electives below (60-credit total unchanged)</t>
  </si>
  <si>
    <t xml:space="preserve">B8510</t>
  </si>
  <si>
    <t xml:space="preserve">Managerial Negotiations</t>
  </si>
  <si>
    <t xml:space="preserve">Elective</t>
  </si>
  <si>
    <t xml:space="preserve">Suggested</t>
  </si>
  <si>
    <t xml:space="preserve">Exemption-replacement slot; leadership focus</t>
  </si>
  <si>
    <t xml:space="preserve">B8022</t>
  </si>
  <si>
    <t xml:space="preserve">Accounting for Value</t>
  </si>
  <si>
    <t xml:space="preserve">Optional: advanced accounting since B6001 exempted — or swap via Catalog</t>
  </si>
  <si>
    <t xml:space="preserve">Fall 2026 total</t>
  </si>
  <si>
    <t xml:space="preserve">Spring 2027</t>
  </si>
  <si>
    <t xml:space="preserve">B6102</t>
  </si>
  <si>
    <t xml:space="preserve">Operations Management (A-term)</t>
  </si>
  <si>
    <t xml:space="preserve">B6201</t>
  </si>
  <si>
    <t xml:space="preserve">Global Economic Environment (A-term)</t>
  </si>
  <si>
    <t xml:space="preserve">B8439</t>
  </si>
  <si>
    <t xml:space="preserve">Foundations of VC (Half-Term / block week)</t>
  </si>
  <si>
    <t xml:space="preserve">Venture Fellows prerequisite — apply when apps open in fall; cannot ALSO take B8781 VC-in-Japan for credit</t>
  </si>
  <si>
    <t xml:space="preserve">B8465</t>
  </si>
  <si>
    <t xml:space="preserve">Building a VC Investment Thesis</t>
  </si>
  <si>
    <t xml:space="preserve">Venture Fellows requirement (spring term); credits est. — confirm</t>
  </si>
  <si>
    <t xml:space="preserve">B8345</t>
  </si>
  <si>
    <t xml:space="preserve">Entrepreneurial Finance</t>
  </si>
  <si>
    <t xml:space="preserve">B8577</t>
  </si>
  <si>
    <t xml:space="preserve">Think Bigger (Sheena Iyengar)</t>
  </si>
  <si>
    <t xml:space="preserve">Leadership focus; credits est. — confirm</t>
  </si>
  <si>
    <t xml:space="preserve">B8553</t>
  </si>
  <si>
    <t xml:space="preserve">Managerial Decision Making</t>
  </si>
  <si>
    <t xml:space="preserve">Credits est. — confirm</t>
  </si>
  <si>
    <t xml:space="preserve">Open elective slot</t>
  </si>
  <si>
    <t xml:space="preserve">Open</t>
  </si>
  <si>
    <t xml:space="preserve">Pick from Catalog tab</t>
  </si>
  <si>
    <t xml:space="preserve">Spring 2027 total</t>
  </si>
  <si>
    <t xml:space="preserve">Fall 2027</t>
  </si>
  <si>
    <t xml:space="preserve">B8385</t>
  </si>
  <si>
    <t xml:space="preserve">VC Seminar</t>
  </si>
  <si>
    <t xml:space="preserve">B8519</t>
  </si>
  <si>
    <t xml:space="preserve">Launch Your Startup</t>
  </si>
  <si>
    <t xml:space="preserve">B8531</t>
  </si>
  <si>
    <t xml:space="preserve">Power &amp; Influence</t>
  </si>
  <si>
    <t xml:space="preserve">Leadership focus</t>
  </si>
  <si>
    <t xml:space="preserve">B8590</t>
  </si>
  <si>
    <t xml:space="preserve">People Analytics and Strategy</t>
  </si>
  <si>
    <t xml:space="preserve">B8306</t>
  </si>
  <si>
    <t xml:space="preserve">Capital Markets &amp; Investments</t>
  </si>
  <si>
    <t xml:space="preserve">Finance depth for investor conversations</t>
  </si>
  <si>
    <t xml:space="preserve">B8623</t>
  </si>
  <si>
    <t xml:space="preserve">Intro to Product Management</t>
  </si>
  <si>
    <t xml:space="preserve">Useful for operating/VC roles</t>
  </si>
  <si>
    <t xml:space="preserve">Fall 2027 total</t>
  </si>
  <si>
    <t xml:space="preserve">Spring 2028</t>
  </si>
  <si>
    <t xml:space="preserve">B8523</t>
  </si>
  <si>
    <t xml:space="preserve">Entrepreneurship Through Acquisition</t>
  </si>
  <si>
    <t xml:space="preserve">B8520</t>
  </si>
  <si>
    <t xml:space="preserve">The Entrepreneurship and Venture Capital Game</t>
  </si>
  <si>
    <t xml:space="preserve">B8598</t>
  </si>
  <si>
    <t xml:space="preserve">Entrepreneurial Greenhouse (Master Class)</t>
  </si>
  <si>
    <t xml:space="preserve">Application-based accelerator course; credits est. — confirm</t>
  </si>
  <si>
    <t xml:space="preserve">B8538</t>
  </si>
  <si>
    <t xml:space="preserve">The Leader's Voice</t>
  </si>
  <si>
    <t xml:space="preserve">B8513</t>
  </si>
  <si>
    <t xml:space="preserve">Personal Leadership &amp; Success (Wadhwa)</t>
  </si>
  <si>
    <t xml:space="preserve">Includes mandatory retreat + program fee</t>
  </si>
  <si>
    <t xml:space="preserve">Alt: B8781 Global Immersion VC in Japan (3.0, ~$2,100 fee) — only if you DROP B8439 (credit exclusion)</t>
  </si>
  <si>
    <t xml:space="preserve">Spring 2028 total</t>
  </si>
  <si>
    <t xml:space="preserve">TOTAL CREDITS PLANNED</t>
  </si>
  <si>
    <t xml:space="preserve">Required to graduate</t>
  </si>
  <si>
    <t xml:space="preserve">Source: CBS MBA degree requirements (60 credits)</t>
  </si>
  <si>
    <t xml:space="preserve">Remaining to plan</t>
  </si>
  <si>
    <t xml:space="preserve">Course Catalog — verified list (see columbia-mba-classes.md in repo for sources/caveats)</t>
  </si>
  <si>
    <t xml:space="preserve">Division / group</t>
  </si>
  <si>
    <t xml:space="preserve">Financial Accounting — full-term, 3.0 cr</t>
  </si>
  <si>
    <t xml:space="preserve">MBA Core Curriculum (B6xxx) — 12 courses</t>
  </si>
  <si>
    <t xml:space="preserve">Managerial Statistics — 1.5 cr</t>
  </si>
  <si>
    <t xml:space="preserve">Business Analytics — 1.5 cr</t>
  </si>
  <si>
    <t xml:space="preserve">Operations Management — 1.5 cr</t>
  </si>
  <si>
    <t xml:space="preserve">Managerial Economics — 1.5 cr</t>
  </si>
  <si>
    <t xml:space="preserve">Global Economic Environment — 1.5 cr</t>
  </si>
  <si>
    <t xml:space="preserve">B6300</t>
  </si>
  <si>
    <t xml:space="preserve">Corporate Finance — full-term, 3.0 cr</t>
  </si>
  <si>
    <t xml:space="preserve">Foundations of Valuation — 1.5 cr</t>
  </si>
  <si>
    <t xml:space="preserve">Corporate Finance (Half-Term) — 1.5 cr</t>
  </si>
  <si>
    <t xml:space="preserve">Lead: People, Teams, Organizations — 1.5 cr</t>
  </si>
  <si>
    <t xml:space="preserve">Strategy Formulation — 1.5 cr</t>
  </si>
  <si>
    <t xml:space="preserve">Marketing — 1.5 cr</t>
  </si>
  <si>
    <t xml:space="preserve">B8007</t>
  </si>
  <si>
    <t xml:space="preserve">Financial Planning &amp; Analysis</t>
  </si>
  <si>
    <t xml:space="preserve">Accounting</t>
  </si>
  <si>
    <t xml:space="preserve">B8008</t>
  </si>
  <si>
    <t xml:space="preserve">Earnings Quality &amp; Fundamental Analysis</t>
  </si>
  <si>
    <t xml:space="preserve">B8009</t>
  </si>
  <si>
    <t xml:space="preserve">Financial Statement Analysis and Valuation</t>
  </si>
  <si>
    <t xml:space="preserve">B8010</t>
  </si>
  <si>
    <t xml:space="preserve">Fundamental Analysis for Investors, Managers and Entrepreneurs</t>
  </si>
  <si>
    <t xml:space="preserve">B8019</t>
  </si>
  <si>
    <t xml:space="preserve">Corporate Transactions and Financial Modeling</t>
  </si>
  <si>
    <t xml:space="preserve">B8024</t>
  </si>
  <si>
    <t xml:space="preserve">Sovereign Risk Assessments</t>
  </si>
  <si>
    <t xml:space="preserve">B8025</t>
  </si>
  <si>
    <t xml:space="preserve">Mergers &amp; Acquisitions Accounting, a Practitioner's Perspective</t>
  </si>
  <si>
    <t xml:space="preserve">B8026</t>
  </si>
  <si>
    <t xml:space="preserve">Applied Fundamental Analysis with Alternative Data</t>
  </si>
  <si>
    <t xml:space="preserve">B8027</t>
  </si>
  <si>
    <t xml:space="preserve">Sustainability Reporting — formerly "Challenges in Measurement &amp; Disclosure of ESG Data"</t>
  </si>
  <si>
    <t xml:space="preserve">B8028</t>
  </si>
  <si>
    <t xml:space="preserve">Measuring and Managing Climate Risk</t>
  </si>
  <si>
    <t xml:space="preserve">B8029</t>
  </si>
  <si>
    <t xml:space="preserve">Mergers and Acquisitions Transactions</t>
  </si>
  <si>
    <t xml:space="preserve">B8030</t>
  </si>
  <si>
    <t xml:space="preserve">LBO &amp; Bankruptcy Transactions</t>
  </si>
  <si>
    <t xml:space="preserve">B8122</t>
  </si>
  <si>
    <t xml:space="preserve">Accounting for Consultants</t>
  </si>
  <si>
    <t xml:space="preserve">B8100</t>
  </si>
  <si>
    <t xml:space="preserve">Consulting Practicum: Healthcare Management, Design, and Strategy</t>
  </si>
  <si>
    <t xml:space="preserve">Decision, Risk &amp; Operations</t>
  </si>
  <si>
    <t xml:space="preserve">B8101</t>
  </si>
  <si>
    <t xml:space="preserve">Business Analytics II</t>
  </si>
  <si>
    <t xml:space="preserve">B8105</t>
  </si>
  <si>
    <t xml:space="preserve">Healthcare Analytics</t>
  </si>
  <si>
    <t xml:space="preserve">B8106</t>
  </si>
  <si>
    <t xml:space="preserve">Operations Strategy</t>
  </si>
  <si>
    <t xml:space="preserve">B8107</t>
  </si>
  <si>
    <t xml:space="preserve">Service Operations Management</t>
  </si>
  <si>
    <t xml:space="preserve">B8109</t>
  </si>
  <si>
    <t xml:space="preserve">Supply Chain Management</t>
  </si>
  <si>
    <t xml:space="preserve">B8110</t>
  </si>
  <si>
    <t xml:space="preserve">Game-Theoretic Business Strategy</t>
  </si>
  <si>
    <t xml:space="preserve">B8114</t>
  </si>
  <si>
    <t xml:space="preserve">Applied Regression Analysis</t>
  </si>
  <si>
    <t xml:space="preserve">B8115</t>
  </si>
  <si>
    <t xml:space="preserve">Leading Sustainable Supply Chains and Operations</t>
  </si>
  <si>
    <t xml:space="preserve">B8116</t>
  </si>
  <si>
    <t xml:space="preserve">Risk Management</t>
  </si>
  <si>
    <t xml:space="preserve">B8123</t>
  </si>
  <si>
    <t xml:space="preserve">Demand Analytics</t>
  </si>
  <si>
    <t xml:space="preserve">B8125</t>
  </si>
  <si>
    <t xml:space="preserve">Digital Literacy for Decision Makers</t>
  </si>
  <si>
    <t xml:space="preserve">B8126</t>
  </si>
  <si>
    <t xml:space="preserve">Web App Programming in Python</t>
  </si>
  <si>
    <t xml:space="preserve">B8131</t>
  </si>
  <si>
    <t xml:space="preserve">Sports Analytics</t>
  </si>
  <si>
    <t xml:space="preserve">B8145</t>
  </si>
  <si>
    <t xml:space="preserve">Introduction to Programming — code also appears in the Healthcare pathway as "Applying Healthcare IT &amp; Digital Health" — likely reused</t>
  </si>
  <si>
    <t xml:space="preserve">B8146</t>
  </si>
  <si>
    <t xml:space="preserve">Analytics in Action (Master Class)</t>
  </si>
  <si>
    <t xml:space="preserve">B8154</t>
  </si>
  <si>
    <t xml:space="preserve">Python for MBAs</t>
  </si>
  <si>
    <t xml:space="preserve">B8257</t>
  </si>
  <si>
    <t xml:space="preserve">Business Experiments: Analytics for Causal Insight</t>
  </si>
  <si>
    <t xml:space="preserve">B8816</t>
  </si>
  <si>
    <t xml:space="preserve">Quantitative Pricing &amp; Revenue</t>
  </si>
  <si>
    <t xml:space="preserve">B8212</t>
  </si>
  <si>
    <t xml:space="preserve">Climate Policy</t>
  </si>
  <si>
    <t xml:space="preserve">Business Economics</t>
  </si>
  <si>
    <t xml:space="preserve">B8216</t>
  </si>
  <si>
    <t xml:space="preserve">Economics of Strategic Behavior</t>
  </si>
  <si>
    <t xml:space="preserve">B8221</t>
  </si>
  <si>
    <t xml:space="preserve">Economics of Healthcare and Pharmaceuticals</t>
  </si>
  <si>
    <t xml:space="preserve">B8233</t>
  </si>
  <si>
    <t xml:space="preserve">Climate Risk</t>
  </si>
  <si>
    <t xml:space="preserve">B8234</t>
  </si>
  <si>
    <t xml:space="preserve">Financial Empowerment Lab NYC</t>
  </si>
  <si>
    <t xml:space="preserve">B8250</t>
  </si>
  <si>
    <t xml:space="preserve">Macroeconomic Policy</t>
  </si>
  <si>
    <t xml:space="preserve">B8265</t>
  </si>
  <si>
    <t xml:space="preserve">Modern Political Economy</t>
  </si>
  <si>
    <t xml:space="preserve">Finance · Capital markets &amp; investing</t>
  </si>
  <si>
    <t xml:space="preserve">B8307</t>
  </si>
  <si>
    <t xml:space="preserve">Advanced Corporate Finance</t>
  </si>
  <si>
    <t xml:space="preserve">B8308</t>
  </si>
  <si>
    <t xml:space="preserve">Debt Markets</t>
  </si>
  <si>
    <t xml:space="preserve">B8311</t>
  </si>
  <si>
    <t xml:space="preserve">Equity Analyst Toolkit</t>
  </si>
  <si>
    <t xml:space="preserve">B8321</t>
  </si>
  <si>
    <t xml:space="preserve">The Analyst's Edge</t>
  </si>
  <si>
    <t xml:space="preserve">B8323</t>
  </si>
  <si>
    <t xml:space="preserve">Asset Management</t>
  </si>
  <si>
    <t xml:space="preserve">B8326</t>
  </si>
  <si>
    <t xml:space="preserve">Capital Markets Regulation</t>
  </si>
  <si>
    <t xml:space="preserve">B8358</t>
  </si>
  <si>
    <t xml:space="preserve">Strategic Equity Finance — equity capital markets / IPOs; David Erickson</t>
  </si>
  <si>
    <t xml:space="preserve">B8361</t>
  </si>
  <si>
    <t xml:space="preserve">Managing Large Pools of Assets for Families and Institutions</t>
  </si>
  <si>
    <t xml:space="preserve">B8368</t>
  </si>
  <si>
    <t xml:space="preserve">Security Analysis</t>
  </si>
  <si>
    <t xml:space="preserve">B8369</t>
  </si>
  <si>
    <t xml:space="preserve">Applied Security Analysis I</t>
  </si>
  <si>
    <t xml:space="preserve">B8371</t>
  </si>
  <si>
    <t xml:space="preserve">Advanced Global Macroeconomic Investing</t>
  </si>
  <si>
    <t xml:space="preserve">B8389</t>
  </si>
  <si>
    <t xml:space="preserve">Hedge Funds</t>
  </si>
  <si>
    <t xml:space="preserve">B8394</t>
  </si>
  <si>
    <t xml:space="preserve">Legal Financial Arbitrage: Merger Arbitrage and Beyond — joint with Columbia Law</t>
  </si>
  <si>
    <t xml:space="preserve">B8401</t>
  </si>
  <si>
    <t xml:space="preserve">Short Selling</t>
  </si>
  <si>
    <t xml:space="preserve">B8432</t>
  </si>
  <si>
    <t xml:space="preserve">International Finance</t>
  </si>
  <si>
    <t xml:space="preserve">B8458</t>
  </si>
  <si>
    <t xml:space="preserve">Seminar in Wealth Management: Investing for Family Offices, Endowments and Foundations</t>
  </si>
  <si>
    <t xml:space="preserve">B8461</t>
  </si>
  <si>
    <t xml:space="preserve">Practice of Wealth Management for High-Net-Worth Clients</t>
  </si>
  <si>
    <t xml:space="preserve">B8471</t>
  </si>
  <si>
    <t xml:space="preserve">Public Pensions and Retirement Security in the U.S.</t>
  </si>
  <si>
    <t xml:space="preserve">B8373</t>
  </si>
  <si>
    <t xml:space="preserve">Applied Value Investing</t>
  </si>
  <si>
    <t xml:space="preserve">Finance · Value investing (Heilbrunn Center)</t>
  </si>
  <si>
    <t xml:space="preserve">B8376</t>
  </si>
  <si>
    <t xml:space="preserve">Distressed Value Investing</t>
  </si>
  <si>
    <t xml:space="preserve">B8377</t>
  </si>
  <si>
    <t xml:space="preserve">Value Investing</t>
  </si>
  <si>
    <t xml:space="preserve">B8378</t>
  </si>
  <si>
    <t xml:space="preserve">Value Investing with Legends</t>
  </si>
  <si>
    <t xml:space="preserve">B8380</t>
  </si>
  <si>
    <t xml:space="preserve">Advanced Investment Research</t>
  </si>
  <si>
    <t xml:space="preserve">B8328</t>
  </si>
  <si>
    <t xml:space="preserve">From Feast to Famine &amp; Back Again: Investing in the Credit Markets through Cycles</t>
  </si>
  <si>
    <t xml:space="preserve">B8344</t>
  </si>
  <si>
    <t xml:space="preserve">Applied Credit Investing — application-only</t>
  </si>
  <si>
    <t xml:space="preserve">B8357</t>
  </si>
  <si>
    <t xml:space="preserve">Activist Value Investing for Small Cap Companies</t>
  </si>
  <si>
    <t xml:space="preserve">B8433</t>
  </si>
  <si>
    <t xml:space="preserve">Compounders</t>
  </si>
  <si>
    <t xml:space="preserve">B8444</t>
  </si>
  <si>
    <t xml:space="preserve">Modern Value</t>
  </si>
  <si>
    <t xml:space="preserve">B8470</t>
  </si>
  <si>
    <t xml:space="preserve">Value Investing in Private Credit</t>
  </si>
  <si>
    <t xml:space="preserve">B8715</t>
  </si>
  <si>
    <t xml:space="preserve">Industry Immersion: Value Investing and Fundamental Asset Management (Richmond &amp; Charlottesville)</t>
  </si>
  <si>
    <t xml:space="preserve">B8317</t>
  </si>
  <si>
    <t xml:space="preserve">Advanced Topics in Private Equity</t>
  </si>
  <si>
    <t xml:space="preserve">Finance · Private equity &amp; venture capital</t>
  </si>
  <si>
    <t xml:space="preserve">B8322</t>
  </si>
  <si>
    <t xml:space="preserve">Private Equity Field Study</t>
  </si>
  <si>
    <t xml:space="preserve">B8329</t>
  </si>
  <si>
    <t xml:space="preserve">Private Equity: Value Creation</t>
  </si>
  <si>
    <t xml:space="preserve">B8335</t>
  </si>
  <si>
    <t xml:space="preserve">Private Equity Allocation</t>
  </si>
  <si>
    <t xml:space="preserve">B8414</t>
  </si>
  <si>
    <t xml:space="preserve">Private Equity</t>
  </si>
  <si>
    <t xml:space="preserve">B8419</t>
  </si>
  <si>
    <t xml:space="preserve">Private Equity Capstone</t>
  </si>
  <si>
    <t xml:space="preserve">Foundations of VC (Half-Term)</t>
  </si>
  <si>
    <t xml:space="preserve">B8449</t>
  </si>
  <si>
    <t xml:space="preserve">Foundations of VC (Full-Term)</t>
  </si>
  <si>
    <t xml:space="preserve">B8331</t>
  </si>
  <si>
    <t xml:space="preserve">Real Estate Finance</t>
  </si>
  <si>
    <t xml:space="preserve">Finance · Real estate (Paul Milstein Center)</t>
  </si>
  <si>
    <t xml:space="preserve">B8332</t>
  </si>
  <si>
    <t xml:space="preserve">Real Estate Transactions</t>
  </si>
  <si>
    <t xml:space="preserve">B8334</t>
  </si>
  <si>
    <t xml:space="preserve">Capstone: Real Estate Investment</t>
  </si>
  <si>
    <t xml:space="preserve">B8336</t>
  </si>
  <si>
    <t xml:space="preserve">Real Estate Portfolio Management</t>
  </si>
  <si>
    <t xml:space="preserve">B8337</t>
  </si>
  <si>
    <t xml:space="preserve">Global Real Estate Investment</t>
  </si>
  <si>
    <t xml:space="preserve">B8338</t>
  </si>
  <si>
    <t xml:space="preserve">Real Estate Development</t>
  </si>
  <si>
    <t xml:space="preserve">B8339</t>
  </si>
  <si>
    <t xml:space="preserve">Real Estate Mergers &amp; Acquisitions Deal Workshop</t>
  </si>
  <si>
    <t xml:space="preserve">B8340</t>
  </si>
  <si>
    <t xml:space="preserve">Advanced Seminar in Real Estate</t>
  </si>
  <si>
    <t xml:space="preserve">B8341</t>
  </si>
  <si>
    <t xml:space="preserve">PropTech and Real Estate Disruption</t>
  </si>
  <si>
    <t xml:space="preserve">B8453</t>
  </si>
  <si>
    <t xml:space="preserve">Real Estate Debt Markets</t>
  </si>
  <si>
    <t xml:space="preserve">B8463</t>
  </si>
  <si>
    <t xml:space="preserve">Residential Real Estate: Dirt, Debt, and Derivatives</t>
  </si>
  <si>
    <t xml:space="preserve">B8325</t>
  </si>
  <si>
    <t xml:space="preserve">Mergers &amp; Acquisitions</t>
  </si>
  <si>
    <t xml:space="preserve">Finance · Deals, corporate finance &amp; governance</t>
  </si>
  <si>
    <t xml:space="preserve">B8353</t>
  </si>
  <si>
    <t xml:space="preserve">Beyond the Boardroom: The Power of Smart Governance</t>
  </si>
  <si>
    <t xml:space="preserve">B8320</t>
  </si>
  <si>
    <t xml:space="preserve">Climate Tech</t>
  </si>
  <si>
    <t xml:space="preserve">Finance · Sustainability, impact &amp; specialty finance</t>
  </si>
  <si>
    <t xml:space="preserve">B8352</t>
  </si>
  <si>
    <t xml:space="preserve">Financing Energy Infrastructure</t>
  </si>
  <si>
    <t xml:space="preserve">B8354</t>
  </si>
  <si>
    <t xml:space="preserve">Personal Finance</t>
  </si>
  <si>
    <t xml:space="preserve">B8355</t>
  </si>
  <si>
    <t xml:space="preserve">Impact Investing</t>
  </si>
  <si>
    <t xml:space="preserve">B8356</t>
  </si>
  <si>
    <t xml:space="preserve">Financing Innovation in Healthcare</t>
  </si>
  <si>
    <t xml:space="preserve">B8363</t>
  </si>
  <si>
    <t xml:space="preserve">Climate Finance</t>
  </si>
  <si>
    <t xml:space="preserve">B8365</t>
  </si>
  <si>
    <t xml:space="preserve">Navigating China</t>
  </si>
  <si>
    <t xml:space="preserve">B8452</t>
  </si>
  <si>
    <t xml:space="preserve">Project Finance: Principles and Application to Emerging Markets</t>
  </si>
  <si>
    <t xml:space="preserve">B8462</t>
  </si>
  <si>
    <t xml:space="preserve">Blockchain &amp; Cryptocurrencies</t>
  </si>
  <si>
    <t xml:space="preserve">B8464</t>
  </si>
  <si>
    <t xml:space="preserve">Finance in the Family Firm</t>
  </si>
  <si>
    <t xml:space="preserve">B8468</t>
  </si>
  <si>
    <t xml:space="preserve">ESG Equity Investing</t>
  </si>
  <si>
    <t xml:space="preserve">Management · Leadership &amp; organizations</t>
  </si>
  <si>
    <t xml:space="preserve">Personal Leadership &amp; Success — Hitendra Wadhwa; includes mandatory retreat</t>
  </si>
  <si>
    <t xml:space="preserve">The Leader's Voice: Communication Skills for Leading Organizations</t>
  </si>
  <si>
    <t xml:space="preserve">B8551</t>
  </si>
  <si>
    <t xml:space="preserve">Future of Work: Strategy &amp; Leadership</t>
  </si>
  <si>
    <t xml:space="preserve">Think Bigger — Sheena Iyengar</t>
  </si>
  <si>
    <t xml:space="preserve">B8585</t>
  </si>
  <si>
    <t xml:space="preserve">Bridging the American Divide</t>
  </si>
  <si>
    <t xml:space="preserve">B8592</t>
  </si>
  <si>
    <t xml:space="preserve">Immersive Teamwork</t>
  </si>
  <si>
    <t xml:space="preserve">B8514</t>
  </si>
  <si>
    <t xml:space="preserve">Napoleon's Glance — William Duggan; last evidenced listings 2016–2019</t>
  </si>
  <si>
    <t xml:space="preserve">B8584</t>
  </si>
  <si>
    <t xml:space="preserve">Executive Ethics (unverified)</t>
  </si>
  <si>
    <t xml:space="preserve">?</t>
  </si>
  <si>
    <t xml:space="preserve">High Performance Leadership (unverified)</t>
  </si>
  <si>
    <t xml:space="preserve">B8515</t>
  </si>
  <si>
    <t xml:space="preserve">Top Management Process</t>
  </si>
  <si>
    <t xml:space="preserve">Management · Strategy &amp; consulting</t>
  </si>
  <si>
    <t xml:space="preserve">B8605</t>
  </si>
  <si>
    <t xml:space="preserve">Succeeding in Consulting: from Project Manager to CEO Advisor</t>
  </si>
  <si>
    <t xml:space="preserve">B8624</t>
  </si>
  <si>
    <t xml:space="preserve">Driving Strategic Impact: Mastering the Tools of Strategy Consulting</t>
  </si>
  <si>
    <t xml:space="preserve">B8701</t>
  </si>
  <si>
    <t xml:space="preserve">Management Consulting Lab — project-based; tied to the EC-Africa program</t>
  </si>
  <si>
    <t xml:space="preserve">B8518</t>
  </si>
  <si>
    <t xml:space="preserve">Foundations of Entrepreneurship</t>
  </si>
  <si>
    <t xml:space="preserve">Management · Entrepreneurship (Lang Center)</t>
  </si>
  <si>
    <t xml:space="preserve">B8522</t>
  </si>
  <si>
    <t xml:space="preserve">Lean LaunchPad — historical listing</t>
  </si>
  <si>
    <t xml:space="preserve">B8583</t>
  </si>
  <si>
    <t xml:space="preserve">Food Entrepreneurship (unverified)</t>
  </si>
  <si>
    <t xml:space="preserve">B8586</t>
  </si>
  <si>
    <t xml:space="preserve">Entrepreneurial Strategy</t>
  </si>
  <si>
    <t xml:space="preserve">B8521</t>
  </si>
  <si>
    <t xml:space="preserve">Foundations of Family Enterprise</t>
  </si>
  <si>
    <t xml:space="preserve">Management · Family enterprise (Global Family Enterprise Program)</t>
  </si>
  <si>
    <t xml:space="preserve">B8528</t>
  </si>
  <si>
    <t xml:space="preserve">Family Enterprise and Wealth</t>
  </si>
  <si>
    <t xml:space="preserve">B8529</t>
  </si>
  <si>
    <t xml:space="preserve">Family Business Management</t>
  </si>
  <si>
    <t xml:space="preserve">B8530</t>
  </si>
  <si>
    <t xml:space="preserve">Managing the Family Firm</t>
  </si>
  <si>
    <t xml:space="preserve">B8533</t>
  </si>
  <si>
    <t xml:space="preserve">Family Office Management</t>
  </si>
  <si>
    <t xml:space="preserve">B8579</t>
  </si>
  <si>
    <t xml:space="preserve">Navigating Dynamics and Conflicts in Family Enterprise — formerly "Managing Conflict in Family Business"</t>
  </si>
  <si>
    <t xml:space="preserve">B8511</t>
  </si>
  <si>
    <t xml:space="preserve">Turnaround Management</t>
  </si>
  <si>
    <t xml:space="preserve">Management · Business &amp; society</t>
  </si>
  <si>
    <t xml:space="preserve">B8544</t>
  </si>
  <si>
    <t xml:space="preserve">The Nonprofit Sector &amp; the City</t>
  </si>
  <si>
    <t xml:space="preserve">B8558</t>
  </si>
  <si>
    <t xml:space="preserve">Education Leadership</t>
  </si>
  <si>
    <t xml:space="preserve">B8587</t>
  </si>
  <si>
    <t xml:space="preserve">Business Strategies and Solving Social Problems</t>
  </si>
  <si>
    <t xml:space="preserve">B8505</t>
  </si>
  <si>
    <t xml:space="preserve">Equity by Design</t>
  </si>
  <si>
    <t xml:space="preserve">B8516</t>
  </si>
  <si>
    <t xml:space="preserve">Lab-to-Market: Accelerating Biomedical Innovation</t>
  </si>
  <si>
    <t xml:space="preserve">B8580</t>
  </si>
  <si>
    <t xml:space="preserve">ReEntry Acceleration Program (REAP) Immersion</t>
  </si>
  <si>
    <t xml:space="preserve">B8607</t>
  </si>
  <si>
    <t xml:space="preserve">Strategic Consumer Insights</t>
  </si>
  <si>
    <t xml:space="preserve">Marketing · Strategy &amp; insights</t>
  </si>
  <si>
    <t xml:space="preserve">B8612</t>
  </si>
  <si>
    <t xml:space="preserve">Premium Brand Strategy</t>
  </si>
  <si>
    <t xml:space="preserve">B8619</t>
  </si>
  <si>
    <t xml:space="preserve">Integrated Marketing Strategy</t>
  </si>
  <si>
    <t xml:space="preserve">B8621</t>
  </si>
  <si>
    <t xml:space="preserve">Managing Brands</t>
  </si>
  <si>
    <t xml:space="preserve">B8628</t>
  </si>
  <si>
    <t xml:space="preserve">Social and Economic Networks</t>
  </si>
  <si>
    <t xml:space="preserve">B8640</t>
  </si>
  <si>
    <t xml:space="preserve">The Art of Teaming Up: Marketing Partnerships and Commercial Arrangements</t>
  </si>
  <si>
    <t xml:space="preserve">B8649</t>
  </si>
  <si>
    <t xml:space="preserve">Pricing Strategies</t>
  </si>
  <si>
    <t xml:space="preserve">B8656</t>
  </si>
  <si>
    <t xml:space="preserve">Market Intelligence: The Art and the Science</t>
  </si>
  <si>
    <t xml:space="preserve">B8601</t>
  </si>
  <si>
    <t xml:space="preserve">Digital Disruption &amp; Technology Transformation</t>
  </si>
  <si>
    <t xml:space="preserve">Marketing · Digital, product &amp; analytics</t>
  </si>
  <si>
    <t xml:space="preserve">B8602</t>
  </si>
  <si>
    <t xml:space="preserve">Analytical Methods in Customer Relationship Management</t>
  </si>
  <si>
    <t xml:space="preserve">B8608</t>
  </si>
  <si>
    <t xml:space="preserve">Tech Ethics</t>
  </si>
  <si>
    <t xml:space="preserve">B8609</t>
  </si>
  <si>
    <t xml:space="preserve">Generative AI for Business</t>
  </si>
  <si>
    <t xml:space="preserve">B8610</t>
  </si>
  <si>
    <t xml:space="preserve">Growth Hacking</t>
  </si>
  <si>
    <t xml:space="preserve">B8632</t>
  </si>
  <si>
    <t xml:space="preserve">Digital Product Management Lab</t>
  </si>
  <si>
    <t xml:space="preserve">B8633</t>
  </si>
  <si>
    <t xml:space="preserve">Data Science for Marketing Managers</t>
  </si>
  <si>
    <t xml:space="preserve">B8636</t>
  </si>
  <si>
    <t xml:space="preserve">Product Management (Full-Term)</t>
  </si>
  <si>
    <t xml:space="preserve">B8606</t>
  </si>
  <si>
    <t xml:space="preserve">Product Management Waiver — placement marker</t>
  </si>
  <si>
    <t xml:space="preserve">B8667</t>
  </si>
  <si>
    <t xml:space="preserve">Foundations of Product Innovation</t>
  </si>
  <si>
    <t xml:space="preserve">B8671</t>
  </si>
  <si>
    <t xml:space="preserve">Digital Wars</t>
  </si>
  <si>
    <t xml:space="preserve">B8679</t>
  </si>
  <si>
    <t xml:space="preserve">Digital Marketing</t>
  </si>
  <si>
    <t xml:space="preserve">B8613</t>
  </si>
  <si>
    <t xml:space="preserve">Entrepreneurial Selling</t>
  </si>
  <si>
    <t xml:space="preserve">Marketing · Selling &amp; industry</t>
  </si>
  <si>
    <t xml:space="preserve">B8694</t>
  </si>
  <si>
    <t xml:space="preserve">Building the Sales Machine</t>
  </si>
  <si>
    <t xml:space="preserve">B8695</t>
  </si>
  <si>
    <t xml:space="preserve">Growing &amp; Managing the Sales Machine (unverified)</t>
  </si>
  <si>
    <t xml:space="preserve">B8604</t>
  </si>
  <si>
    <t xml:space="preserve">Frontiers in Retailing</t>
  </si>
  <si>
    <t xml:space="preserve">B8616</t>
  </si>
  <si>
    <t xml:space="preserve">The Business of Aesthetics and Experiences</t>
  </si>
  <si>
    <t xml:space="preserve">B8642</t>
  </si>
  <si>
    <t xml:space="preserve">The Luxury Approach (Half-Term) — block-week edition</t>
  </si>
  <si>
    <t xml:space="preserve">B8655</t>
  </si>
  <si>
    <t xml:space="preserve">The Luxury Approach — full-term, 3.0 cr</t>
  </si>
  <si>
    <t xml:space="preserve">B8652</t>
  </si>
  <si>
    <t xml:space="preserve">Retail Fundamentals</t>
  </si>
  <si>
    <t xml:space="preserve">B8697</t>
  </si>
  <si>
    <t xml:space="preserve">The Marketing of Luxury Products</t>
  </si>
  <si>
    <t xml:space="preserve">B8611</t>
  </si>
  <si>
    <t xml:space="preserve">Media, Platforms, and Content (Half-Term)</t>
  </si>
  <si>
    <t xml:space="preserve">Marketing · Media, entertainment &amp; sports</t>
  </si>
  <si>
    <t xml:space="preserve">B8615</t>
  </si>
  <si>
    <t xml:space="preserve">Media Marketing and Entrepreneurship</t>
  </si>
  <si>
    <t xml:space="preserve">B8629</t>
  </si>
  <si>
    <t xml:space="preserve">Entertainment Marketing &amp; the Crafting of Celebrity Businesses</t>
  </si>
  <si>
    <t xml:space="preserve">B8637</t>
  </si>
  <si>
    <t xml:space="preserve">The Business of Television and Streaming</t>
  </si>
  <si>
    <t xml:space="preserve">B8644</t>
  </si>
  <si>
    <t xml:space="preserve">Sports Economics and Policy</t>
  </si>
  <si>
    <t xml:space="preserve">B8666</t>
  </si>
  <si>
    <t xml:space="preserve">Media Platforms and Content: A Foundations Course</t>
  </si>
  <si>
    <t xml:space="preserve">B8687</t>
  </si>
  <si>
    <t xml:space="preserve">The Business of Sports</t>
  </si>
  <si>
    <t xml:space="preserve">B8654</t>
  </si>
  <si>
    <t xml:space="preserve">The Business of Sustainability</t>
  </si>
  <si>
    <t xml:space="preserve">Cross-divisional: climate &amp; society, healthcare, immersions · Climate &amp; social enterprise (Tamer Center)</t>
  </si>
  <si>
    <t xml:space="preserve">B8705</t>
  </si>
  <si>
    <t xml:space="preserve">Business and Climate Change</t>
  </si>
  <si>
    <t xml:space="preserve">B8767</t>
  </si>
  <si>
    <t xml:space="preserve">Investing in Social Ventures</t>
  </si>
  <si>
    <t xml:space="preserve">B8784</t>
  </si>
  <si>
    <t xml:space="preserve">Business and Society: Reconciling Shareholder and Stakeholder Interests</t>
  </si>
  <si>
    <t xml:space="preserve">B8118</t>
  </si>
  <si>
    <t xml:space="preserve">Transforming Healthcare Services</t>
  </si>
  <si>
    <t xml:space="preserve">Cross-divisional: climate &amp; society, healthcare, immersions · Healthcare &amp; Pharmaceutical Management Program</t>
  </si>
  <si>
    <t xml:space="preserve">B8128</t>
  </si>
  <si>
    <t xml:space="preserve">Healthcare Investment and Entrepreneurship — recent materials reference it as Healthcare VC and PE</t>
  </si>
  <si>
    <t xml:space="preserve">B8132</t>
  </si>
  <si>
    <t xml:space="preserve">Investing in Digital Health Startups</t>
  </si>
  <si>
    <t xml:space="preserve">B8536</t>
  </si>
  <si>
    <t xml:space="preserve">Strategy and Competition in Pharmaceuticals and Biotechnology</t>
  </si>
  <si>
    <t xml:space="preserve">B8578</t>
  </si>
  <si>
    <t xml:space="preserve">Public Policy and the Healthcare Industry</t>
  </si>
  <si>
    <t xml:space="preserve">B8692</t>
  </si>
  <si>
    <t xml:space="preserve">Biotech/Pharma Commercialization and Development Strategies</t>
  </si>
  <si>
    <t xml:space="preserve">B8746</t>
  </si>
  <si>
    <t xml:space="preserve">Investing in Medical Technologies</t>
  </si>
  <si>
    <t xml:space="preserve">B8823</t>
  </si>
  <si>
    <t xml:space="preserve">The U.S. Healthcare System: Structure and Strategies — the pathway's foundational course; probable successor to the old "Healthcare Industry in the 21st Century"</t>
  </si>
  <si>
    <t xml:space="preserve">Applying Healthcare IT &amp; Digital Health (unverified)</t>
  </si>
  <si>
    <t xml:space="preserve">B8707</t>
  </si>
  <si>
    <t xml:space="preserve">Global Immersion: Business and Entrepreneurship in Tunisia</t>
  </si>
  <si>
    <t xml:space="preserve">Cross-divisional: climate &amp; society, healthcare, immersions · Chazen Global Immersions (destination changes yearly)</t>
  </si>
  <si>
    <t xml:space="preserve">B8708</t>
  </si>
  <si>
    <t xml:space="preserve">Global Immersion: Tech in Africa — Innovation and Entrepreneurship in Nairobi, Kenya</t>
  </si>
  <si>
    <t xml:space="preserve">B8710</t>
  </si>
  <si>
    <t xml:space="preserve">Global Immersion: Consulting and Advising Family Enterprises (CAFÉ) in Italy</t>
  </si>
  <si>
    <t xml:space="preserve">B8711</t>
  </si>
  <si>
    <t xml:space="preserve">Global Immersion: Bridge of the Americas — Unlocking Opportunities in Mexico</t>
  </si>
  <si>
    <t xml:space="preserve">B8714</t>
  </si>
  <si>
    <t xml:space="preserve">Global Immersion: Doing Business in Brazil — Challenges &amp; Opportunities</t>
  </si>
  <si>
    <t xml:space="preserve">B8716</t>
  </si>
  <si>
    <t xml:space="preserve">Global Immersion: Nordic Family Enterprise</t>
  </si>
  <si>
    <t xml:space="preserve">B8718</t>
  </si>
  <si>
    <t xml:space="preserve">Global Immersion: Navigating Argentina's Business Environment</t>
  </si>
  <si>
    <t xml:space="preserve">B8721</t>
  </si>
  <si>
    <t xml:space="preserve">Global Immersion: Innovation in India</t>
  </si>
  <si>
    <t xml:space="preserve">B8725</t>
  </si>
  <si>
    <t xml:space="preserve">Global Immersion: The UAE — Economic Growth, Business Dynamism, and Global Relevance</t>
  </si>
  <si>
    <t xml:space="preserve">B8727</t>
  </si>
  <si>
    <t xml:space="preserve">Global Immersion: The Business Environment in Vietnam</t>
  </si>
  <si>
    <t xml:space="preserve">B8729</t>
  </si>
  <si>
    <t xml:space="preserve">Global Immersion: The Innovation and Entrepreneurship Ecosystem in Israel</t>
  </si>
  <si>
    <t xml:space="preserve">B8777</t>
  </si>
  <si>
    <t xml:space="preserve">Global Immersion: Philippines — Asia's Rising Tiger</t>
  </si>
  <si>
    <t xml:space="preserve">B8778</t>
  </si>
  <si>
    <t xml:space="preserve">Global Immersion: South Africa's Ongoing Transformation</t>
  </si>
  <si>
    <t xml:space="preserve">B8780</t>
  </si>
  <si>
    <t xml:space="preserve">Global Immersion: Business and Entrepreneurship in Egypt</t>
  </si>
  <si>
    <t xml:space="preserve">B8781</t>
  </si>
  <si>
    <t xml:space="preserve">Global Immersion: Foundations of VC in Japan</t>
  </si>
  <si>
    <t xml:space="preserve">B8700</t>
  </si>
  <si>
    <t xml:space="preserve">Exchange Program / Cross Registration — marker</t>
  </si>
  <si>
    <t xml:space="preserve">Cross-divisional: climate &amp; society, healthcare, immersions · Administrative &amp; independent work</t>
  </si>
  <si>
    <t xml:space="preserve">B8800</t>
  </si>
  <si>
    <t xml:space="preserve">Independent Study (3 cr)</t>
  </si>
  <si>
    <t xml:space="preserve">B8801</t>
  </si>
  <si>
    <t xml:space="preserve">Independent Study (Internship) — 1.5 cr, pass/fail</t>
  </si>
  <si>
    <t xml:space="preserve">B8802</t>
  </si>
  <si>
    <t xml:space="preserve">Independent Study (1.5 cr)</t>
  </si>
  <si>
    <t xml:space="preserve">Degree Tracker &amp; Rules</t>
  </si>
  <si>
    <t xml:space="preserve">Credits required to graduate</t>
  </si>
  <si>
    <t xml:space="preserve">Hardcoded — CBS MBA degree requirements</t>
  </si>
  <si>
    <t xml:space="preserve">Credits planned (Plan tab)</t>
  </si>
  <si>
    <t xml:space="preserve">Remaining</t>
  </si>
  <si>
    <t xml:space="preserve">Core credits planned</t>
  </si>
  <si>
    <t xml:space="preserve">15.0 after B6001 exemption (18.0 full core)</t>
  </si>
  <si>
    <t xml:space="preserve">Elective credits planned</t>
  </si>
  <si>
    <t xml:space="preserve">Rules &amp; notes</t>
  </si>
  <si>
    <t xml:space="preserve">Exemption rule: passing an exemption exam waives the COURSE, not the credits — you still need 60 total; exempted core credits are replaced with electives (B6001 handled this way on the Plan tab).</t>
  </si>
  <si>
    <t xml:space="preserve">Credit exclusion: Foundations of VC (B8439/B8449) and Global Immersion: Foundations of VC in Japan (B8781) overlap — you can take only ONE for credit.</t>
  </si>
  <si>
    <t xml:space="preserve">Columbia Venture Fellows: selective application (cycle opens in fall); requires Foundations of VC in the spring block week + Building a VC Investment Thesis (B8465) in spring term.</t>
  </si>
  <si>
    <t xml:space="preserve">Global Immersion courses carry a ~$2,100 program fee (excl. airfare); seats are limited.</t>
  </si>
  <si>
    <t xml:space="preserve">Application-based courses in this plan: Entrepreneurial Greenhouse (B8598); Heilbrunn value-investing courses if you add them.</t>
  </si>
  <si>
    <t xml:space="preserve">Half-terms: each semester splits into A and B terms; 1.5-credit courses occupy one half-term.</t>
  </si>
  <si>
    <t xml:space="preserve">Credits marked yellow on the Plan tab are estimates — confirm on courses.business.columbia.edu before registering.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</si>
</sst>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5" t="n">
        <v>1.5</v>
      </c>
      <c r="E5" s="4" t="s">
        <v>12</v>
      </c>
      <c r="F5" s="6" t="s">
        <v>13</v>
      </c>
      <c r="G5" s="7"/>
    </row>
    <row r="6" customFormat="false" ht="15" hidden="false" customHeight="false" outlineLevel="0" collapsed="false">
      <c r="A6" s="4" t="s">
        <v>9</v>
      </c>
      <c r="B6" s="4" t="s">
        <v>14</v>
      </c>
      <c r="C6" s="4" t="s">
        <v>15</v>
      </c>
      <c r="D6" s="5" t="n">
        <v>1.5</v>
      </c>
      <c r="E6" s="4" t="s">
        <v>12</v>
      </c>
      <c r="F6" s="6" t="s">
        <v>13</v>
      </c>
      <c r="G6" s="7"/>
    </row>
    <row r="7" customFormat="false" ht="15" hidden="false" customHeight="false" outlineLevel="0" collapsed="false">
      <c r="A7" s="4" t="s">
        <v>9</v>
      </c>
      <c r="B7" s="4" t="s">
        <v>16</v>
      </c>
      <c r="C7" s="4" t="s">
        <v>17</v>
      </c>
      <c r="D7" s="5" t="n">
        <v>1.5</v>
      </c>
      <c r="E7" s="4" t="s">
        <v>12</v>
      </c>
      <c r="F7" s="6" t="s">
        <v>13</v>
      </c>
      <c r="G7" s="7"/>
    </row>
    <row r="8" customFormat="false" ht="15" hidden="false" customHeight="false" outlineLevel="0" collapsed="false">
      <c r="A8" s="4" t="s">
        <v>9</v>
      </c>
      <c r="B8" s="4" t="s">
        <v>18</v>
      </c>
      <c r="C8" s="4" t="s">
        <v>19</v>
      </c>
      <c r="D8" s="5" t="n">
        <v>1.5</v>
      </c>
      <c r="E8" s="4" t="s">
        <v>12</v>
      </c>
      <c r="F8" s="6" t="s">
        <v>13</v>
      </c>
      <c r="G8" s="7"/>
    </row>
    <row r="9" customFormat="false" ht="15" hidden="false" customHeight="false" outlineLevel="0" collapsed="false">
      <c r="A9" s="4" t="s">
        <v>9</v>
      </c>
      <c r="B9" s="4" t="s">
        <v>20</v>
      </c>
      <c r="C9" s="4" t="s">
        <v>21</v>
      </c>
      <c r="D9" s="5" t="n">
        <v>1.5</v>
      </c>
      <c r="E9" s="4" t="s">
        <v>12</v>
      </c>
      <c r="F9" s="6" t="s">
        <v>13</v>
      </c>
      <c r="G9" s="7" t="s">
        <v>22</v>
      </c>
    </row>
    <row r="10" customFormat="false" ht="15" hidden="false" customHeight="false" outlineLevel="0" collapsed="false">
      <c r="A10" s="4" t="s">
        <v>9</v>
      </c>
      <c r="B10" s="4" t="s">
        <v>23</v>
      </c>
      <c r="C10" s="4" t="s">
        <v>24</v>
      </c>
      <c r="D10" s="5" t="n">
        <v>1.5</v>
      </c>
      <c r="E10" s="4" t="s">
        <v>12</v>
      </c>
      <c r="F10" s="6" t="s">
        <v>13</v>
      </c>
      <c r="G10" s="7"/>
    </row>
    <row r="11" customFormat="false" ht="15" hidden="false" customHeight="false" outlineLevel="0" collapsed="false">
      <c r="A11" s="4" t="s">
        <v>9</v>
      </c>
      <c r="B11" s="4" t="s">
        <v>25</v>
      </c>
      <c r="C11" s="4" t="s">
        <v>26</v>
      </c>
      <c r="D11" s="5" t="n">
        <v>1.5</v>
      </c>
      <c r="E11" s="4" t="s">
        <v>12</v>
      </c>
      <c r="F11" s="6" t="s">
        <v>13</v>
      </c>
      <c r="G11" s="7"/>
    </row>
    <row r="12" customFormat="false" ht="15" hidden="false" customHeight="false" outlineLevel="0" collapsed="false">
      <c r="A12" s="4" t="s">
        <v>9</v>
      </c>
      <c r="B12" s="4" t="s">
        <v>27</v>
      </c>
      <c r="C12" s="4" t="s">
        <v>28</v>
      </c>
      <c r="D12" s="5" t="n">
        <v>1.5</v>
      </c>
      <c r="E12" s="4" t="s">
        <v>12</v>
      </c>
      <c r="F12" s="6" t="s">
        <v>13</v>
      </c>
      <c r="G12" s="7"/>
    </row>
    <row r="13" customFormat="false" ht="15" hidden="false" customHeight="false" outlineLevel="0" collapsed="false">
      <c r="A13" s="8" t="s">
        <v>9</v>
      </c>
      <c r="B13" s="8" t="s">
        <v>29</v>
      </c>
      <c r="C13" s="8" t="s">
        <v>30</v>
      </c>
      <c r="D13" s="9" t="n">
        <v>0</v>
      </c>
      <c r="E13" s="8" t="s">
        <v>31</v>
      </c>
      <c r="F13" s="6" t="s">
        <v>32</v>
      </c>
      <c r="G13" s="10" t="s">
        <v>33</v>
      </c>
    </row>
    <row r="14" customFormat="false" ht="15" hidden="false" customHeight="false" outlineLevel="0" collapsed="false">
      <c r="A14" s="8" t="s">
        <v>9</v>
      </c>
      <c r="B14" s="8" t="s">
        <v>34</v>
      </c>
      <c r="C14" s="8" t="s">
        <v>35</v>
      </c>
      <c r="D14" s="9" t="n">
        <v>1.5</v>
      </c>
      <c r="E14" s="8" t="s">
        <v>36</v>
      </c>
      <c r="F14" s="6" t="s">
        <v>37</v>
      </c>
      <c r="G14" s="10" t="s">
        <v>38</v>
      </c>
    </row>
    <row r="15" customFormat="false" ht="15" hidden="false" customHeight="false" outlineLevel="0" collapsed="false">
      <c r="A15" s="8" t="s">
        <v>9</v>
      </c>
      <c r="B15" s="8" t="s">
        <v>39</v>
      </c>
      <c r="C15" s="8" t="s">
        <v>40</v>
      </c>
      <c r="D15" s="9" t="n">
        <v>1.5</v>
      </c>
      <c r="E15" s="8" t="s">
        <v>36</v>
      </c>
      <c r="F15" s="6" t="s">
        <v>37</v>
      </c>
      <c r="G15" s="10" t="s">
        <v>41</v>
      </c>
    </row>
    <row r="16" customFormat="false" ht="15" hidden="false" customHeight="false" outlineLevel="0" collapsed="false">
      <c r="A16" s="11"/>
      <c r="B16" s="11"/>
      <c r="C16" s="12" t="s">
        <v>42</v>
      </c>
      <c r="D16" s="13" t="n">
        <f aca="false">SUM(D5:D15)</f>
        <v>15</v>
      </c>
      <c r="E16" s="11"/>
      <c r="F16" s="11"/>
      <c r="G16" s="11"/>
    </row>
    <row r="17" customFormat="false" ht="15" hidden="false" customHeight="false" outlineLevel="0" collapsed="false">
      <c r="A17" s="4" t="s">
        <v>43</v>
      </c>
      <c r="B17" s="4" t="s">
        <v>44</v>
      </c>
      <c r="C17" s="4" t="s">
        <v>45</v>
      </c>
      <c r="D17" s="5" t="n">
        <v>1.5</v>
      </c>
      <c r="E17" s="4" t="s">
        <v>12</v>
      </c>
      <c r="F17" s="6" t="s">
        <v>13</v>
      </c>
      <c r="G17" s="7"/>
    </row>
    <row r="18" customFormat="false" ht="15" hidden="false" customHeight="false" outlineLevel="0" collapsed="false">
      <c r="A18" s="4" t="s">
        <v>43</v>
      </c>
      <c r="B18" s="4" t="s">
        <v>46</v>
      </c>
      <c r="C18" s="4" t="s">
        <v>47</v>
      </c>
      <c r="D18" s="5" t="n">
        <v>1.5</v>
      </c>
      <c r="E18" s="4" t="s">
        <v>12</v>
      </c>
      <c r="F18" s="6" t="s">
        <v>13</v>
      </c>
      <c r="G18" s="7"/>
    </row>
    <row r="19" customFormat="false" ht="15" hidden="false" customHeight="false" outlineLevel="0" collapsed="false">
      <c r="A19" s="8" t="s">
        <v>43</v>
      </c>
      <c r="B19" s="8" t="s">
        <v>48</v>
      </c>
      <c r="C19" s="8" t="s">
        <v>49</v>
      </c>
      <c r="D19" s="9" t="n">
        <v>1.5</v>
      </c>
      <c r="E19" s="8" t="s">
        <v>36</v>
      </c>
      <c r="F19" s="6" t="s">
        <v>37</v>
      </c>
      <c r="G19" s="10" t="s">
        <v>50</v>
      </c>
    </row>
    <row r="20" customFormat="false" ht="15" hidden="false" customHeight="false" outlineLevel="0" collapsed="false">
      <c r="A20" s="8" t="s">
        <v>43</v>
      </c>
      <c r="B20" s="8" t="s">
        <v>51</v>
      </c>
      <c r="C20" s="8" t="s">
        <v>52</v>
      </c>
      <c r="D20" s="14" t="n">
        <v>1.5</v>
      </c>
      <c r="E20" s="8" t="s">
        <v>36</v>
      </c>
      <c r="F20" s="6" t="s">
        <v>37</v>
      </c>
      <c r="G20" s="10" t="s">
        <v>53</v>
      </c>
    </row>
    <row r="21" customFormat="false" ht="15" hidden="false" customHeight="false" outlineLevel="0" collapsed="false">
      <c r="A21" s="8" t="s">
        <v>43</v>
      </c>
      <c r="B21" s="8" t="s">
        <v>54</v>
      </c>
      <c r="C21" s="8" t="s">
        <v>55</v>
      </c>
      <c r="D21" s="9" t="n">
        <v>3</v>
      </c>
      <c r="E21" s="8" t="s">
        <v>36</v>
      </c>
      <c r="F21" s="6" t="s">
        <v>37</v>
      </c>
      <c r="G21" s="10"/>
    </row>
    <row r="22" customFormat="false" ht="15" hidden="false" customHeight="false" outlineLevel="0" collapsed="false">
      <c r="A22" s="8" t="s">
        <v>43</v>
      </c>
      <c r="B22" s="8" t="s">
        <v>56</v>
      </c>
      <c r="C22" s="8" t="s">
        <v>57</v>
      </c>
      <c r="D22" s="14" t="n">
        <v>1.5</v>
      </c>
      <c r="E22" s="8" t="s">
        <v>36</v>
      </c>
      <c r="F22" s="6" t="s">
        <v>37</v>
      </c>
      <c r="G22" s="10" t="s">
        <v>58</v>
      </c>
    </row>
    <row r="23" customFormat="false" ht="15" hidden="false" customHeight="false" outlineLevel="0" collapsed="false">
      <c r="A23" s="8" t="s">
        <v>43</v>
      </c>
      <c r="B23" s="8" t="s">
        <v>59</v>
      </c>
      <c r="C23" s="8" t="s">
        <v>60</v>
      </c>
      <c r="D23" s="14" t="n">
        <v>1.5</v>
      </c>
      <c r="E23" s="8" t="s">
        <v>36</v>
      </c>
      <c r="F23" s="6" t="s">
        <v>37</v>
      </c>
      <c r="G23" s="10" t="s">
        <v>61</v>
      </c>
    </row>
    <row r="24" customFormat="false" ht="15" hidden="false" customHeight="false" outlineLevel="0" collapsed="false">
      <c r="A24" s="8" t="s">
        <v>43</v>
      </c>
      <c r="B24" s="8"/>
      <c r="C24" s="8" t="s">
        <v>62</v>
      </c>
      <c r="D24" s="14" t="n">
        <v>3</v>
      </c>
      <c r="E24" s="8" t="s">
        <v>36</v>
      </c>
      <c r="F24" s="6" t="s">
        <v>63</v>
      </c>
      <c r="G24" s="10" t="s">
        <v>64</v>
      </c>
    </row>
    <row r="25" customFormat="false" ht="15" hidden="false" customHeight="false" outlineLevel="0" collapsed="false">
      <c r="A25" s="11"/>
      <c r="B25" s="11"/>
      <c r="C25" s="12" t="s">
        <v>65</v>
      </c>
      <c r="D25" s="13" t="n">
        <f aca="false">SUM(D17:D24)</f>
        <v>15</v>
      </c>
      <c r="E25" s="11"/>
      <c r="F25" s="11"/>
      <c r="G25" s="11"/>
    </row>
    <row r="26" customFormat="false" ht="15" hidden="false" customHeight="false" outlineLevel="0" collapsed="false">
      <c r="A26" s="8" t="s">
        <v>66</v>
      </c>
      <c r="B26" s="8" t="s">
        <v>67</v>
      </c>
      <c r="C26" s="8" t="s">
        <v>68</v>
      </c>
      <c r="D26" s="14" t="n">
        <v>1.5</v>
      </c>
      <c r="E26" s="8" t="s">
        <v>36</v>
      </c>
      <c r="F26" s="6" t="s">
        <v>37</v>
      </c>
      <c r="G26" s="10" t="s">
        <v>61</v>
      </c>
    </row>
    <row r="27" customFormat="false" ht="15" hidden="false" customHeight="false" outlineLevel="0" collapsed="false">
      <c r="A27" s="8" t="s">
        <v>66</v>
      </c>
      <c r="B27" s="8" t="s">
        <v>69</v>
      </c>
      <c r="C27" s="8" t="s">
        <v>70</v>
      </c>
      <c r="D27" s="14" t="n">
        <v>3</v>
      </c>
      <c r="E27" s="8" t="s">
        <v>36</v>
      </c>
      <c r="F27" s="6" t="s">
        <v>37</v>
      </c>
      <c r="G27" s="10" t="s">
        <v>61</v>
      </c>
    </row>
    <row r="28" customFormat="false" ht="15" hidden="false" customHeight="false" outlineLevel="0" collapsed="false">
      <c r="A28" s="8" t="s">
        <v>66</v>
      </c>
      <c r="B28" s="8" t="s">
        <v>71</v>
      </c>
      <c r="C28" s="8" t="s">
        <v>72</v>
      </c>
      <c r="D28" s="9" t="n">
        <v>1.5</v>
      </c>
      <c r="E28" s="8" t="s">
        <v>36</v>
      </c>
      <c r="F28" s="6" t="s">
        <v>37</v>
      </c>
      <c r="G28" s="10" t="s">
        <v>73</v>
      </c>
    </row>
    <row r="29" customFormat="false" ht="15" hidden="false" customHeight="false" outlineLevel="0" collapsed="false">
      <c r="A29" s="8" t="s">
        <v>66</v>
      </c>
      <c r="B29" s="8" t="s">
        <v>74</v>
      </c>
      <c r="C29" s="8" t="s">
        <v>75</v>
      </c>
      <c r="D29" s="14" t="n">
        <v>1.5</v>
      </c>
      <c r="E29" s="8" t="s">
        <v>36</v>
      </c>
      <c r="F29" s="6" t="s">
        <v>37</v>
      </c>
      <c r="G29" s="10" t="s">
        <v>61</v>
      </c>
    </row>
    <row r="30" customFormat="false" ht="15" hidden="false" customHeight="false" outlineLevel="0" collapsed="false">
      <c r="A30" s="8" t="s">
        <v>66</v>
      </c>
      <c r="B30" s="8" t="s">
        <v>76</v>
      </c>
      <c r="C30" s="8" t="s">
        <v>77</v>
      </c>
      <c r="D30" s="9" t="n">
        <v>3</v>
      </c>
      <c r="E30" s="8" t="s">
        <v>36</v>
      </c>
      <c r="F30" s="6" t="s">
        <v>37</v>
      </c>
      <c r="G30" s="10" t="s">
        <v>78</v>
      </c>
    </row>
    <row r="31" customFormat="false" ht="15" hidden="false" customHeight="false" outlineLevel="0" collapsed="false">
      <c r="A31" s="8" t="s">
        <v>66</v>
      </c>
      <c r="B31" s="8" t="s">
        <v>79</v>
      </c>
      <c r="C31" s="8" t="s">
        <v>80</v>
      </c>
      <c r="D31" s="9" t="n">
        <v>1.5</v>
      </c>
      <c r="E31" s="8" t="s">
        <v>36</v>
      </c>
      <c r="F31" s="6" t="s">
        <v>37</v>
      </c>
      <c r="G31" s="10" t="s">
        <v>81</v>
      </c>
    </row>
    <row r="32" customFormat="false" ht="15" hidden="false" customHeight="false" outlineLevel="0" collapsed="false">
      <c r="A32" s="8" t="s">
        <v>66</v>
      </c>
      <c r="B32" s="8"/>
      <c r="C32" s="8" t="s">
        <v>62</v>
      </c>
      <c r="D32" s="14" t="n">
        <v>3</v>
      </c>
      <c r="E32" s="8" t="s">
        <v>36</v>
      </c>
      <c r="F32" s="6" t="s">
        <v>63</v>
      </c>
      <c r="G32" s="10" t="s">
        <v>64</v>
      </c>
    </row>
    <row r="33" customFormat="false" ht="15" hidden="false" customHeight="false" outlineLevel="0" collapsed="false">
      <c r="A33" s="11"/>
      <c r="B33" s="11"/>
      <c r="C33" s="12" t="s">
        <v>82</v>
      </c>
      <c r="D33" s="13" t="n">
        <f aca="false">SUM(D26:D32)</f>
        <v>15</v>
      </c>
      <c r="E33" s="11"/>
      <c r="F33" s="11"/>
      <c r="G33" s="11"/>
    </row>
    <row r="34" customFormat="false" ht="15" hidden="false" customHeight="false" outlineLevel="0" collapsed="false">
      <c r="A34" s="8" t="s">
        <v>83</v>
      </c>
      <c r="B34" s="8" t="s">
        <v>84</v>
      </c>
      <c r="C34" s="8" t="s">
        <v>85</v>
      </c>
      <c r="D34" s="14" t="n">
        <v>1.5</v>
      </c>
      <c r="E34" s="8" t="s">
        <v>36</v>
      </c>
      <c r="F34" s="6" t="s">
        <v>37</v>
      </c>
      <c r="G34" s="10" t="s">
        <v>61</v>
      </c>
    </row>
    <row r="35" customFormat="false" ht="15" hidden="false" customHeight="false" outlineLevel="0" collapsed="false">
      <c r="A35" s="8" t="s">
        <v>83</v>
      </c>
      <c r="B35" s="8" t="s">
        <v>86</v>
      </c>
      <c r="C35" s="8" t="s">
        <v>87</v>
      </c>
      <c r="D35" s="9" t="n">
        <v>1.5</v>
      </c>
      <c r="E35" s="8" t="s">
        <v>36</v>
      </c>
      <c r="F35" s="6" t="s">
        <v>37</v>
      </c>
      <c r="G35" s="10"/>
    </row>
    <row r="36" customFormat="false" ht="15" hidden="false" customHeight="false" outlineLevel="0" collapsed="false">
      <c r="A36" s="8" t="s">
        <v>83</v>
      </c>
      <c r="B36" s="8" t="s">
        <v>88</v>
      </c>
      <c r="C36" s="8" t="s">
        <v>89</v>
      </c>
      <c r="D36" s="14" t="n">
        <v>3</v>
      </c>
      <c r="E36" s="8" t="s">
        <v>36</v>
      </c>
      <c r="F36" s="6" t="s">
        <v>37</v>
      </c>
      <c r="G36" s="10" t="s">
        <v>90</v>
      </c>
    </row>
    <row r="37" customFormat="false" ht="15" hidden="false" customHeight="false" outlineLevel="0" collapsed="false">
      <c r="A37" s="8" t="s">
        <v>83</v>
      </c>
      <c r="B37" s="8" t="s">
        <v>91</v>
      </c>
      <c r="C37" s="8" t="s">
        <v>92</v>
      </c>
      <c r="D37" s="14" t="n">
        <v>1.5</v>
      </c>
      <c r="E37" s="8" t="s">
        <v>36</v>
      </c>
      <c r="F37" s="6" t="s">
        <v>37</v>
      </c>
      <c r="G37" s="10" t="s">
        <v>61</v>
      </c>
    </row>
    <row r="38" customFormat="false" ht="15" hidden="false" customHeight="false" outlineLevel="0" collapsed="false">
      <c r="A38" s="8" t="s">
        <v>83</v>
      </c>
      <c r="B38" s="8" t="s">
        <v>93</v>
      </c>
      <c r="C38" s="8" t="s">
        <v>94</v>
      </c>
      <c r="D38" s="9" t="n">
        <v>3</v>
      </c>
      <c r="E38" s="8" t="s">
        <v>36</v>
      </c>
      <c r="F38" s="6" t="s">
        <v>37</v>
      </c>
      <c r="G38" s="10" t="s">
        <v>95</v>
      </c>
    </row>
    <row r="39" customFormat="false" ht="15" hidden="false" customHeight="false" outlineLevel="0" collapsed="false">
      <c r="A39" s="8" t="s">
        <v>83</v>
      </c>
      <c r="B39" s="8"/>
      <c r="C39" s="8" t="s">
        <v>62</v>
      </c>
      <c r="D39" s="14" t="n">
        <v>3</v>
      </c>
      <c r="E39" s="8" t="s">
        <v>36</v>
      </c>
      <c r="F39" s="6" t="s">
        <v>63</v>
      </c>
      <c r="G39" s="10" t="s">
        <v>96</v>
      </c>
    </row>
    <row r="40" customFormat="false" ht="15" hidden="false" customHeight="false" outlineLevel="0" collapsed="false">
      <c r="A40" s="8" t="s">
        <v>83</v>
      </c>
      <c r="B40" s="8"/>
      <c r="C40" s="8" t="s">
        <v>62</v>
      </c>
      <c r="D40" s="14" t="n">
        <v>1.5</v>
      </c>
      <c r="E40" s="8" t="s">
        <v>36</v>
      </c>
      <c r="F40" s="6" t="s">
        <v>63</v>
      </c>
      <c r="G40" s="10" t="s">
        <v>64</v>
      </c>
    </row>
    <row r="41" customFormat="false" ht="15" hidden="false" customHeight="false" outlineLevel="0" collapsed="false">
      <c r="A41" s="11"/>
      <c r="B41" s="11"/>
      <c r="C41" s="12" t="s">
        <v>97</v>
      </c>
      <c r="D41" s="13" t="n">
        <f aca="false">SUM(D34:D40)</f>
        <v>15</v>
      </c>
      <c r="E41" s="11"/>
      <c r="F41" s="11"/>
      <c r="G41" s="11"/>
    </row>
    <row r="43" customFormat="false" ht="15" hidden="false" customHeight="false" outlineLevel="0" collapsed="false">
      <c r="C43" s="15" t="s">
        <v>98</v>
      </c>
      <c r="D43" s="16" t="n">
        <f aca="false">SUMIFS(D5:D41,E5:E41,"Core")+SUMIFS(D5:D41,E5:E41,"Elective")</f>
        <v>60</v>
      </c>
    </row>
    <row r="44" customFormat="false" ht="15" hidden="false" customHeight="false" outlineLevel="0" collapsed="false">
      <c r="C44" s="17" t="s">
        <v>99</v>
      </c>
      <c r="D44" s="18" t="n">
        <v>60</v>
      </c>
      <c r="G44" s="19" t="s">
        <v>100</v>
      </c>
    </row>
    <row r="45" customFormat="false" ht="15" hidden="false" customHeight="false" outlineLevel="0" collapsed="false">
      <c r="C45" s="15" t="s">
        <v>101</v>
      </c>
      <c r="D45" s="16" t="n">
        <f aca="false">D44-D43</f>
        <v>0</v>
      </c>
    </row>
  </sheetData>
  <mergeCells count="1">
    <mergeCell ref="A2:G2"/>
  </mergeCells>
  <dataValidations count="1">
    <dataValidation allowBlank="true" errorStyle="stop" operator="between" showDropDown="false" showErrorMessage="false" showInputMessage="false" sqref="F5:F15 F17:F24 F26:F32 F34:F40" type="list">
      <formula1>"Planned,Suggested,Registered,Completed,Dropped,Open,Exempt"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5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102</v>
      </c>
    </row>
    <row r="3" customFormat="false" ht="15" hidden="false" customHeight="false" outlineLevel="0" collapsed="false">
      <c r="A3" s="3" t="s">
        <v>3</v>
      </c>
      <c r="B3" s="3" t="s">
        <v>4</v>
      </c>
      <c r="C3" s="3" t="s">
        <v>103</v>
      </c>
    </row>
    <row r="4" customFormat="false" ht="15" hidden="false" customHeight="false" outlineLevel="0" collapsed="false">
      <c r="A4" s="17" t="s">
        <v>29</v>
      </c>
      <c r="B4" s="17" t="s">
        <v>104</v>
      </c>
      <c r="C4" s="20" t="s">
        <v>105</v>
      </c>
    </row>
    <row r="5" customFormat="false" ht="15" hidden="false" customHeight="false" outlineLevel="0" collapsed="false">
      <c r="A5" s="17" t="s">
        <v>10</v>
      </c>
      <c r="B5" s="17" t="s">
        <v>106</v>
      </c>
      <c r="C5" s="20" t="s">
        <v>105</v>
      </c>
    </row>
    <row r="6" customFormat="false" ht="15" hidden="false" customHeight="false" outlineLevel="0" collapsed="false">
      <c r="A6" s="17" t="s">
        <v>23</v>
      </c>
      <c r="B6" s="17" t="s">
        <v>107</v>
      </c>
      <c r="C6" s="20" t="s">
        <v>105</v>
      </c>
    </row>
    <row r="7" customFormat="false" ht="15" hidden="false" customHeight="false" outlineLevel="0" collapsed="false">
      <c r="A7" s="17" t="s">
        <v>44</v>
      </c>
      <c r="B7" s="17" t="s">
        <v>108</v>
      </c>
      <c r="C7" s="20" t="s">
        <v>105</v>
      </c>
    </row>
    <row r="8" customFormat="false" ht="15" hidden="false" customHeight="false" outlineLevel="0" collapsed="false">
      <c r="A8" s="17" t="s">
        <v>25</v>
      </c>
      <c r="B8" s="17" t="s">
        <v>109</v>
      </c>
      <c r="C8" s="20" t="s">
        <v>105</v>
      </c>
    </row>
    <row r="9" customFormat="false" ht="15" hidden="false" customHeight="false" outlineLevel="0" collapsed="false">
      <c r="A9" s="17" t="s">
        <v>46</v>
      </c>
      <c r="B9" s="17" t="s">
        <v>110</v>
      </c>
      <c r="C9" s="20" t="s">
        <v>105</v>
      </c>
    </row>
    <row r="10" customFormat="false" ht="15" hidden="false" customHeight="false" outlineLevel="0" collapsed="false">
      <c r="A10" s="17" t="s">
        <v>111</v>
      </c>
      <c r="B10" s="17" t="s">
        <v>112</v>
      </c>
      <c r="C10" s="20" t="s">
        <v>105</v>
      </c>
    </row>
    <row r="11" customFormat="false" ht="15" hidden="false" customHeight="false" outlineLevel="0" collapsed="false">
      <c r="A11" s="17" t="s">
        <v>14</v>
      </c>
      <c r="B11" s="17" t="s">
        <v>113</v>
      </c>
      <c r="C11" s="20" t="s">
        <v>105</v>
      </c>
    </row>
    <row r="12" customFormat="false" ht="15" hidden="false" customHeight="false" outlineLevel="0" collapsed="false">
      <c r="A12" s="17" t="s">
        <v>20</v>
      </c>
      <c r="B12" s="17" t="s">
        <v>114</v>
      </c>
      <c r="C12" s="20" t="s">
        <v>105</v>
      </c>
    </row>
    <row r="13" customFormat="false" ht="15" hidden="false" customHeight="false" outlineLevel="0" collapsed="false">
      <c r="A13" s="17" t="s">
        <v>16</v>
      </c>
      <c r="B13" s="17" t="s">
        <v>115</v>
      </c>
      <c r="C13" s="20" t="s">
        <v>105</v>
      </c>
    </row>
    <row r="14" customFormat="false" ht="15" hidden="false" customHeight="false" outlineLevel="0" collapsed="false">
      <c r="A14" s="17" t="s">
        <v>27</v>
      </c>
      <c r="B14" s="17" t="s">
        <v>116</v>
      </c>
      <c r="C14" s="20" t="s">
        <v>105</v>
      </c>
    </row>
    <row r="15" customFormat="false" ht="15" hidden="false" customHeight="false" outlineLevel="0" collapsed="false">
      <c r="A15" s="17" t="s">
        <v>18</v>
      </c>
      <c r="B15" s="17" t="s">
        <v>117</v>
      </c>
      <c r="C15" s="20" t="s">
        <v>105</v>
      </c>
    </row>
    <row r="16" customFormat="false" ht="15" hidden="false" customHeight="false" outlineLevel="0" collapsed="false">
      <c r="A16" s="17" t="s">
        <v>118</v>
      </c>
      <c r="B16" s="17" t="s">
        <v>119</v>
      </c>
      <c r="C16" s="20" t="s">
        <v>120</v>
      </c>
    </row>
    <row r="17" customFormat="false" ht="15" hidden="false" customHeight="false" outlineLevel="0" collapsed="false">
      <c r="A17" s="17" t="s">
        <v>121</v>
      </c>
      <c r="B17" s="17" t="s">
        <v>122</v>
      </c>
      <c r="C17" s="20" t="s">
        <v>120</v>
      </c>
    </row>
    <row r="18" customFormat="false" ht="15" hidden="false" customHeight="false" outlineLevel="0" collapsed="false">
      <c r="A18" s="17" t="s">
        <v>123</v>
      </c>
      <c r="B18" s="17" t="s">
        <v>124</v>
      </c>
      <c r="C18" s="20" t="s">
        <v>120</v>
      </c>
    </row>
    <row r="19" customFormat="false" ht="15" hidden="false" customHeight="false" outlineLevel="0" collapsed="false">
      <c r="A19" s="17" t="s">
        <v>125</v>
      </c>
      <c r="B19" s="17" t="s">
        <v>126</v>
      </c>
      <c r="C19" s="20" t="s">
        <v>120</v>
      </c>
    </row>
    <row r="20" customFormat="false" ht="15" hidden="false" customHeight="false" outlineLevel="0" collapsed="false">
      <c r="A20" s="17" t="s">
        <v>127</v>
      </c>
      <c r="B20" s="17" t="s">
        <v>128</v>
      </c>
      <c r="C20" s="20" t="s">
        <v>120</v>
      </c>
    </row>
    <row r="21" customFormat="false" ht="15" hidden="false" customHeight="false" outlineLevel="0" collapsed="false">
      <c r="A21" s="17" t="s">
        <v>39</v>
      </c>
      <c r="B21" s="17" t="s">
        <v>40</v>
      </c>
      <c r="C21" s="20" t="s">
        <v>120</v>
      </c>
    </row>
    <row r="22" customFormat="false" ht="15" hidden="false" customHeight="false" outlineLevel="0" collapsed="false">
      <c r="A22" s="17" t="s">
        <v>129</v>
      </c>
      <c r="B22" s="17" t="s">
        <v>130</v>
      </c>
      <c r="C22" s="20" t="s">
        <v>120</v>
      </c>
    </row>
    <row r="23" customFormat="false" ht="15" hidden="false" customHeight="false" outlineLevel="0" collapsed="false">
      <c r="A23" s="17" t="s">
        <v>131</v>
      </c>
      <c r="B23" s="17" t="s">
        <v>132</v>
      </c>
      <c r="C23" s="20" t="s">
        <v>120</v>
      </c>
    </row>
    <row r="24" customFormat="false" ht="15" hidden="false" customHeight="false" outlineLevel="0" collapsed="false">
      <c r="A24" s="17" t="s">
        <v>133</v>
      </c>
      <c r="B24" s="17" t="s">
        <v>134</v>
      </c>
      <c r="C24" s="20" t="s">
        <v>120</v>
      </c>
    </row>
    <row r="25" customFormat="false" ht="15" hidden="false" customHeight="false" outlineLevel="0" collapsed="false">
      <c r="A25" s="17" t="s">
        <v>135</v>
      </c>
      <c r="B25" s="17" t="s">
        <v>136</v>
      </c>
      <c r="C25" s="20" t="s">
        <v>120</v>
      </c>
    </row>
    <row r="26" customFormat="false" ht="15" hidden="false" customHeight="false" outlineLevel="0" collapsed="false">
      <c r="A26" s="17" t="s">
        <v>137</v>
      </c>
      <c r="B26" s="17" t="s">
        <v>138</v>
      </c>
      <c r="C26" s="20" t="s">
        <v>120</v>
      </c>
    </row>
    <row r="27" customFormat="false" ht="15" hidden="false" customHeight="false" outlineLevel="0" collapsed="false">
      <c r="A27" s="17" t="s">
        <v>139</v>
      </c>
      <c r="B27" s="17" t="s">
        <v>140</v>
      </c>
      <c r="C27" s="20" t="s">
        <v>120</v>
      </c>
    </row>
    <row r="28" customFormat="false" ht="15" hidden="false" customHeight="false" outlineLevel="0" collapsed="false">
      <c r="A28" s="17" t="s">
        <v>141</v>
      </c>
      <c r="B28" s="17" t="s">
        <v>142</v>
      </c>
      <c r="C28" s="20" t="s">
        <v>120</v>
      </c>
    </row>
    <row r="29" customFormat="false" ht="15" hidden="false" customHeight="false" outlineLevel="0" collapsed="false">
      <c r="A29" s="17" t="s">
        <v>143</v>
      </c>
      <c r="B29" s="17" t="s">
        <v>144</v>
      </c>
      <c r="C29" s="20" t="s">
        <v>120</v>
      </c>
    </row>
    <row r="30" customFormat="false" ht="15" hidden="false" customHeight="false" outlineLevel="0" collapsed="false">
      <c r="A30" s="17" t="s">
        <v>145</v>
      </c>
      <c r="B30" s="17" t="s">
        <v>146</v>
      </c>
      <c r="C30" s="20" t="s">
        <v>147</v>
      </c>
    </row>
    <row r="31" customFormat="false" ht="15" hidden="false" customHeight="false" outlineLevel="0" collapsed="false">
      <c r="A31" s="17" t="s">
        <v>148</v>
      </c>
      <c r="B31" s="17" t="s">
        <v>149</v>
      </c>
      <c r="C31" s="20" t="s">
        <v>147</v>
      </c>
    </row>
    <row r="32" customFormat="false" ht="15" hidden="false" customHeight="false" outlineLevel="0" collapsed="false">
      <c r="A32" s="17" t="s">
        <v>150</v>
      </c>
      <c r="B32" s="17" t="s">
        <v>151</v>
      </c>
      <c r="C32" s="20" t="s">
        <v>147</v>
      </c>
    </row>
    <row r="33" customFormat="false" ht="15" hidden="false" customHeight="false" outlineLevel="0" collapsed="false">
      <c r="A33" s="17" t="s">
        <v>152</v>
      </c>
      <c r="B33" s="17" t="s">
        <v>153</v>
      </c>
      <c r="C33" s="20" t="s">
        <v>147</v>
      </c>
    </row>
    <row r="34" customFormat="false" ht="15" hidden="false" customHeight="false" outlineLevel="0" collapsed="false">
      <c r="A34" s="17" t="s">
        <v>154</v>
      </c>
      <c r="B34" s="17" t="s">
        <v>155</v>
      </c>
      <c r="C34" s="20" t="s">
        <v>147</v>
      </c>
    </row>
    <row r="35" customFormat="false" ht="15" hidden="false" customHeight="false" outlineLevel="0" collapsed="false">
      <c r="A35" s="17" t="s">
        <v>156</v>
      </c>
      <c r="B35" s="17" t="s">
        <v>157</v>
      </c>
      <c r="C35" s="20" t="s">
        <v>147</v>
      </c>
    </row>
    <row r="36" customFormat="false" ht="15" hidden="false" customHeight="false" outlineLevel="0" collapsed="false">
      <c r="A36" s="17" t="s">
        <v>158</v>
      </c>
      <c r="B36" s="17" t="s">
        <v>159</v>
      </c>
      <c r="C36" s="20" t="s">
        <v>147</v>
      </c>
    </row>
    <row r="37" customFormat="false" ht="15" hidden="false" customHeight="false" outlineLevel="0" collapsed="false">
      <c r="A37" s="17" t="s">
        <v>160</v>
      </c>
      <c r="B37" s="17" t="s">
        <v>161</v>
      </c>
      <c r="C37" s="20" t="s">
        <v>147</v>
      </c>
    </row>
    <row r="38" customFormat="false" ht="15" hidden="false" customHeight="false" outlineLevel="0" collapsed="false">
      <c r="A38" s="17" t="s">
        <v>162</v>
      </c>
      <c r="B38" s="17" t="s">
        <v>163</v>
      </c>
      <c r="C38" s="20" t="s">
        <v>147</v>
      </c>
    </row>
    <row r="39" customFormat="false" ht="15" hidden="false" customHeight="false" outlineLevel="0" collapsed="false">
      <c r="A39" s="17" t="s">
        <v>164</v>
      </c>
      <c r="B39" s="17" t="s">
        <v>165</v>
      </c>
      <c r="C39" s="20" t="s">
        <v>147</v>
      </c>
    </row>
    <row r="40" customFormat="false" ht="15" hidden="false" customHeight="false" outlineLevel="0" collapsed="false">
      <c r="A40" s="17" t="s">
        <v>166</v>
      </c>
      <c r="B40" s="17" t="s">
        <v>167</v>
      </c>
      <c r="C40" s="20" t="s">
        <v>147</v>
      </c>
    </row>
    <row r="41" customFormat="false" ht="15" hidden="false" customHeight="false" outlineLevel="0" collapsed="false">
      <c r="A41" s="17" t="s">
        <v>168</v>
      </c>
      <c r="B41" s="17" t="s">
        <v>169</v>
      </c>
      <c r="C41" s="20" t="s">
        <v>147</v>
      </c>
    </row>
    <row r="42" customFormat="false" ht="15" hidden="false" customHeight="false" outlineLevel="0" collapsed="false">
      <c r="A42" s="17" t="s">
        <v>170</v>
      </c>
      <c r="B42" s="17" t="s">
        <v>171</v>
      </c>
      <c r="C42" s="20" t="s">
        <v>147</v>
      </c>
    </row>
    <row r="43" customFormat="false" ht="15" hidden="false" customHeight="false" outlineLevel="0" collapsed="false">
      <c r="A43" s="17" t="s">
        <v>172</v>
      </c>
      <c r="B43" s="17" t="s">
        <v>173</v>
      </c>
      <c r="C43" s="20" t="s">
        <v>147</v>
      </c>
    </row>
    <row r="44" customFormat="false" ht="15" hidden="false" customHeight="false" outlineLevel="0" collapsed="false">
      <c r="A44" s="17" t="s">
        <v>174</v>
      </c>
      <c r="B44" s="17" t="s">
        <v>175</v>
      </c>
      <c r="C44" s="20" t="s">
        <v>147</v>
      </c>
    </row>
    <row r="45" customFormat="false" ht="15" hidden="false" customHeight="false" outlineLevel="0" collapsed="false">
      <c r="A45" s="17" t="s">
        <v>176</v>
      </c>
      <c r="B45" s="17" t="s">
        <v>177</v>
      </c>
      <c r="C45" s="20" t="s">
        <v>147</v>
      </c>
    </row>
    <row r="46" customFormat="false" ht="15" hidden="false" customHeight="false" outlineLevel="0" collapsed="false">
      <c r="A46" s="17" t="s">
        <v>178</v>
      </c>
      <c r="B46" s="17" t="s">
        <v>179</v>
      </c>
      <c r="C46" s="20" t="s">
        <v>147</v>
      </c>
    </row>
    <row r="47" customFormat="false" ht="15" hidden="false" customHeight="false" outlineLevel="0" collapsed="false">
      <c r="A47" s="17" t="s">
        <v>180</v>
      </c>
      <c r="B47" s="17" t="s">
        <v>181</v>
      </c>
      <c r="C47" s="20" t="s">
        <v>147</v>
      </c>
    </row>
    <row r="48" customFormat="false" ht="15" hidden="false" customHeight="false" outlineLevel="0" collapsed="false">
      <c r="A48" s="17" t="s">
        <v>182</v>
      </c>
      <c r="B48" s="17" t="s">
        <v>183</v>
      </c>
      <c r="C48" s="20" t="s">
        <v>147</v>
      </c>
    </row>
    <row r="49" customFormat="false" ht="15" hidden="false" customHeight="false" outlineLevel="0" collapsed="false">
      <c r="A49" s="17" t="s">
        <v>184</v>
      </c>
      <c r="B49" s="17" t="s">
        <v>185</v>
      </c>
      <c r="C49" s="20" t="s">
        <v>186</v>
      </c>
    </row>
    <row r="50" customFormat="false" ht="15" hidden="false" customHeight="false" outlineLevel="0" collapsed="false">
      <c r="A50" s="17" t="s">
        <v>187</v>
      </c>
      <c r="B50" s="17" t="s">
        <v>188</v>
      </c>
      <c r="C50" s="20" t="s">
        <v>186</v>
      </c>
    </row>
    <row r="51" customFormat="false" ht="15" hidden="false" customHeight="false" outlineLevel="0" collapsed="false">
      <c r="A51" s="17" t="s">
        <v>189</v>
      </c>
      <c r="B51" s="17" t="s">
        <v>190</v>
      </c>
      <c r="C51" s="20" t="s">
        <v>186</v>
      </c>
    </row>
    <row r="52" customFormat="false" ht="15" hidden="false" customHeight="false" outlineLevel="0" collapsed="false">
      <c r="A52" s="17" t="s">
        <v>191</v>
      </c>
      <c r="B52" s="17" t="s">
        <v>192</v>
      </c>
      <c r="C52" s="20" t="s">
        <v>186</v>
      </c>
    </row>
    <row r="53" customFormat="false" ht="15" hidden="false" customHeight="false" outlineLevel="0" collapsed="false">
      <c r="A53" s="17" t="s">
        <v>193</v>
      </c>
      <c r="B53" s="17" t="s">
        <v>194</v>
      </c>
      <c r="C53" s="20" t="s">
        <v>186</v>
      </c>
    </row>
    <row r="54" customFormat="false" ht="15" hidden="false" customHeight="false" outlineLevel="0" collapsed="false">
      <c r="A54" s="17" t="s">
        <v>195</v>
      </c>
      <c r="B54" s="17" t="s">
        <v>196</v>
      </c>
      <c r="C54" s="20" t="s">
        <v>186</v>
      </c>
    </row>
    <row r="55" customFormat="false" ht="15" hidden="false" customHeight="false" outlineLevel="0" collapsed="false">
      <c r="A55" s="17" t="s">
        <v>197</v>
      </c>
      <c r="B55" s="17" t="s">
        <v>198</v>
      </c>
      <c r="C55" s="20" t="s">
        <v>186</v>
      </c>
    </row>
    <row r="56" customFormat="false" ht="15" hidden="false" customHeight="false" outlineLevel="0" collapsed="false">
      <c r="A56" s="17" t="s">
        <v>76</v>
      </c>
      <c r="B56" s="17" t="s">
        <v>77</v>
      </c>
      <c r="C56" s="20" t="s">
        <v>199</v>
      </c>
    </row>
    <row r="57" customFormat="false" ht="15" hidden="false" customHeight="false" outlineLevel="0" collapsed="false">
      <c r="A57" s="17" t="s">
        <v>200</v>
      </c>
      <c r="B57" s="17" t="s">
        <v>201</v>
      </c>
      <c r="C57" s="20" t="s">
        <v>199</v>
      </c>
    </row>
    <row r="58" customFormat="false" ht="15" hidden="false" customHeight="false" outlineLevel="0" collapsed="false">
      <c r="A58" s="17" t="s">
        <v>202</v>
      </c>
      <c r="B58" s="17" t="s">
        <v>203</v>
      </c>
      <c r="C58" s="20" t="s">
        <v>199</v>
      </c>
    </row>
    <row r="59" customFormat="false" ht="15" hidden="false" customHeight="false" outlineLevel="0" collapsed="false">
      <c r="A59" s="17" t="s">
        <v>204</v>
      </c>
      <c r="B59" s="17" t="s">
        <v>205</v>
      </c>
      <c r="C59" s="20" t="s">
        <v>199</v>
      </c>
    </row>
    <row r="60" customFormat="false" ht="15" hidden="false" customHeight="false" outlineLevel="0" collapsed="false">
      <c r="A60" s="17" t="s">
        <v>206</v>
      </c>
      <c r="B60" s="17" t="s">
        <v>207</v>
      </c>
      <c r="C60" s="20" t="s">
        <v>199</v>
      </c>
    </row>
    <row r="61" customFormat="false" ht="15" hidden="false" customHeight="false" outlineLevel="0" collapsed="false">
      <c r="A61" s="17" t="s">
        <v>208</v>
      </c>
      <c r="B61" s="17" t="s">
        <v>209</v>
      </c>
      <c r="C61" s="20" t="s">
        <v>199</v>
      </c>
    </row>
    <row r="62" customFormat="false" ht="15" hidden="false" customHeight="false" outlineLevel="0" collapsed="false">
      <c r="A62" s="17" t="s">
        <v>210</v>
      </c>
      <c r="B62" s="17" t="s">
        <v>211</v>
      </c>
      <c r="C62" s="20" t="s">
        <v>199</v>
      </c>
    </row>
    <row r="63" customFormat="false" ht="15" hidden="false" customHeight="false" outlineLevel="0" collapsed="false">
      <c r="A63" s="17" t="s">
        <v>212</v>
      </c>
      <c r="B63" s="17" t="s">
        <v>213</v>
      </c>
      <c r="C63" s="20" t="s">
        <v>199</v>
      </c>
    </row>
    <row r="64" customFormat="false" ht="15" hidden="false" customHeight="false" outlineLevel="0" collapsed="false">
      <c r="A64" s="17" t="s">
        <v>214</v>
      </c>
      <c r="B64" s="17" t="s">
        <v>215</v>
      </c>
      <c r="C64" s="20" t="s">
        <v>199</v>
      </c>
    </row>
    <row r="65" customFormat="false" ht="15" hidden="false" customHeight="false" outlineLevel="0" collapsed="false">
      <c r="A65" s="17" t="s">
        <v>216</v>
      </c>
      <c r="B65" s="17" t="s">
        <v>217</v>
      </c>
      <c r="C65" s="20" t="s">
        <v>199</v>
      </c>
    </row>
    <row r="66" customFormat="false" ht="15" hidden="false" customHeight="false" outlineLevel="0" collapsed="false">
      <c r="A66" s="17" t="s">
        <v>218</v>
      </c>
      <c r="B66" s="17" t="s">
        <v>219</v>
      </c>
      <c r="C66" s="20" t="s">
        <v>199</v>
      </c>
    </row>
    <row r="67" customFormat="false" ht="15" hidden="false" customHeight="false" outlineLevel="0" collapsed="false">
      <c r="A67" s="17" t="s">
        <v>220</v>
      </c>
      <c r="B67" s="17" t="s">
        <v>221</v>
      </c>
      <c r="C67" s="20" t="s">
        <v>199</v>
      </c>
    </row>
    <row r="68" customFormat="false" ht="15" hidden="false" customHeight="false" outlineLevel="0" collapsed="false">
      <c r="A68" s="17" t="s">
        <v>222</v>
      </c>
      <c r="B68" s="17" t="s">
        <v>223</v>
      </c>
      <c r="C68" s="20" t="s">
        <v>199</v>
      </c>
    </row>
    <row r="69" customFormat="false" ht="15" hidden="false" customHeight="false" outlineLevel="0" collapsed="false">
      <c r="A69" s="17" t="s">
        <v>224</v>
      </c>
      <c r="B69" s="17" t="s">
        <v>225</v>
      </c>
      <c r="C69" s="20" t="s">
        <v>199</v>
      </c>
    </row>
    <row r="70" customFormat="false" ht="15" hidden="false" customHeight="false" outlineLevel="0" collapsed="false">
      <c r="A70" s="17" t="s">
        <v>226</v>
      </c>
      <c r="B70" s="17" t="s">
        <v>227</v>
      </c>
      <c r="C70" s="20" t="s">
        <v>199</v>
      </c>
    </row>
    <row r="71" customFormat="false" ht="15" hidden="false" customHeight="false" outlineLevel="0" collapsed="false">
      <c r="A71" s="17" t="s">
        <v>228</v>
      </c>
      <c r="B71" s="17" t="s">
        <v>229</v>
      </c>
      <c r="C71" s="20" t="s">
        <v>199</v>
      </c>
    </row>
    <row r="72" customFormat="false" ht="15" hidden="false" customHeight="false" outlineLevel="0" collapsed="false">
      <c r="A72" s="17" t="s">
        <v>230</v>
      </c>
      <c r="B72" s="17" t="s">
        <v>231</v>
      </c>
      <c r="C72" s="20" t="s">
        <v>199</v>
      </c>
    </row>
    <row r="73" customFormat="false" ht="15" hidden="false" customHeight="false" outlineLevel="0" collapsed="false">
      <c r="A73" s="17" t="s">
        <v>232</v>
      </c>
      <c r="B73" s="17" t="s">
        <v>233</v>
      </c>
      <c r="C73" s="20" t="s">
        <v>199</v>
      </c>
    </row>
    <row r="74" customFormat="false" ht="15" hidden="false" customHeight="false" outlineLevel="0" collapsed="false">
      <c r="A74" s="17" t="s">
        <v>234</v>
      </c>
      <c r="B74" s="17" t="s">
        <v>235</v>
      </c>
      <c r="C74" s="20" t="s">
        <v>199</v>
      </c>
    </row>
    <row r="75" customFormat="false" ht="15" hidden="false" customHeight="false" outlineLevel="0" collapsed="false">
      <c r="A75" s="17" t="s">
        <v>236</v>
      </c>
      <c r="B75" s="17" t="s">
        <v>237</v>
      </c>
      <c r="C75" s="20" t="s">
        <v>238</v>
      </c>
    </row>
    <row r="76" customFormat="false" ht="15" hidden="false" customHeight="false" outlineLevel="0" collapsed="false">
      <c r="A76" s="17" t="s">
        <v>239</v>
      </c>
      <c r="B76" s="17" t="s">
        <v>240</v>
      </c>
      <c r="C76" s="20" t="s">
        <v>238</v>
      </c>
    </row>
    <row r="77" customFormat="false" ht="15" hidden="false" customHeight="false" outlineLevel="0" collapsed="false">
      <c r="A77" s="17" t="s">
        <v>241</v>
      </c>
      <c r="B77" s="17" t="s">
        <v>242</v>
      </c>
      <c r="C77" s="20" t="s">
        <v>238</v>
      </c>
    </row>
    <row r="78" customFormat="false" ht="15" hidden="false" customHeight="false" outlineLevel="0" collapsed="false">
      <c r="A78" s="17" t="s">
        <v>243</v>
      </c>
      <c r="B78" s="17" t="s">
        <v>244</v>
      </c>
      <c r="C78" s="20" t="s">
        <v>238</v>
      </c>
    </row>
    <row r="79" customFormat="false" ht="15" hidden="false" customHeight="false" outlineLevel="0" collapsed="false">
      <c r="A79" s="17" t="s">
        <v>245</v>
      </c>
      <c r="B79" s="17" t="s">
        <v>246</v>
      </c>
      <c r="C79" s="20" t="s">
        <v>238</v>
      </c>
    </row>
    <row r="80" customFormat="false" ht="15" hidden="false" customHeight="false" outlineLevel="0" collapsed="false">
      <c r="A80" s="17" t="s">
        <v>247</v>
      </c>
      <c r="B80" s="17" t="s">
        <v>248</v>
      </c>
      <c r="C80" s="20" t="s">
        <v>238</v>
      </c>
    </row>
    <row r="81" customFormat="false" ht="15" hidden="false" customHeight="false" outlineLevel="0" collapsed="false">
      <c r="A81" s="17" t="s">
        <v>249</v>
      </c>
      <c r="B81" s="17" t="s">
        <v>250</v>
      </c>
      <c r="C81" s="20" t="s">
        <v>238</v>
      </c>
    </row>
    <row r="82" customFormat="false" ht="15" hidden="false" customHeight="false" outlineLevel="0" collapsed="false">
      <c r="A82" s="17" t="s">
        <v>251</v>
      </c>
      <c r="B82" s="17" t="s">
        <v>252</v>
      </c>
      <c r="C82" s="20" t="s">
        <v>238</v>
      </c>
    </row>
    <row r="83" customFormat="false" ht="15" hidden="false" customHeight="false" outlineLevel="0" collapsed="false">
      <c r="A83" s="17" t="s">
        <v>253</v>
      </c>
      <c r="B83" s="17" t="s">
        <v>254</v>
      </c>
      <c r="C83" s="20" t="s">
        <v>238</v>
      </c>
    </row>
    <row r="84" customFormat="false" ht="15" hidden="false" customHeight="false" outlineLevel="0" collapsed="false">
      <c r="A84" s="17" t="s">
        <v>255</v>
      </c>
      <c r="B84" s="17" t="s">
        <v>256</v>
      </c>
      <c r="C84" s="20" t="s">
        <v>238</v>
      </c>
    </row>
    <row r="85" customFormat="false" ht="15" hidden="false" customHeight="false" outlineLevel="0" collapsed="false">
      <c r="A85" s="17" t="s">
        <v>257</v>
      </c>
      <c r="B85" s="17" t="s">
        <v>258</v>
      </c>
      <c r="C85" s="20" t="s">
        <v>238</v>
      </c>
    </row>
    <row r="86" customFormat="false" ht="15" hidden="false" customHeight="false" outlineLevel="0" collapsed="false">
      <c r="A86" s="17" t="s">
        <v>259</v>
      </c>
      <c r="B86" s="17" t="s">
        <v>260</v>
      </c>
      <c r="C86" s="20" t="s">
        <v>238</v>
      </c>
    </row>
    <row r="87" customFormat="false" ht="15" hidden="false" customHeight="false" outlineLevel="0" collapsed="false">
      <c r="A87" s="17" t="s">
        <v>261</v>
      </c>
      <c r="B87" s="17" t="s">
        <v>262</v>
      </c>
      <c r="C87" s="20" t="s">
        <v>263</v>
      </c>
    </row>
    <row r="88" customFormat="false" ht="15" hidden="false" customHeight="false" outlineLevel="0" collapsed="false">
      <c r="A88" s="17" t="s">
        <v>264</v>
      </c>
      <c r="B88" s="17" t="s">
        <v>265</v>
      </c>
      <c r="C88" s="20" t="s">
        <v>263</v>
      </c>
    </row>
    <row r="89" customFormat="false" ht="15" hidden="false" customHeight="false" outlineLevel="0" collapsed="false">
      <c r="A89" s="17" t="s">
        <v>266</v>
      </c>
      <c r="B89" s="17" t="s">
        <v>267</v>
      </c>
      <c r="C89" s="20" t="s">
        <v>263</v>
      </c>
    </row>
    <row r="90" customFormat="false" ht="15" hidden="false" customHeight="false" outlineLevel="0" collapsed="false">
      <c r="A90" s="17" t="s">
        <v>268</v>
      </c>
      <c r="B90" s="17" t="s">
        <v>269</v>
      </c>
      <c r="C90" s="20" t="s">
        <v>263</v>
      </c>
    </row>
    <row r="91" customFormat="false" ht="15" hidden="false" customHeight="false" outlineLevel="0" collapsed="false">
      <c r="A91" s="17" t="s">
        <v>54</v>
      </c>
      <c r="B91" s="17" t="s">
        <v>55</v>
      </c>
      <c r="C91" s="20" t="s">
        <v>263</v>
      </c>
    </row>
    <row r="92" customFormat="false" ht="15" hidden="false" customHeight="false" outlineLevel="0" collapsed="false">
      <c r="A92" s="17" t="s">
        <v>67</v>
      </c>
      <c r="B92" s="17" t="s">
        <v>68</v>
      </c>
      <c r="C92" s="20" t="s">
        <v>263</v>
      </c>
    </row>
    <row r="93" customFormat="false" ht="15" hidden="false" customHeight="false" outlineLevel="0" collapsed="false">
      <c r="A93" s="17" t="s">
        <v>270</v>
      </c>
      <c r="B93" s="17" t="s">
        <v>271</v>
      </c>
      <c r="C93" s="20" t="s">
        <v>263</v>
      </c>
    </row>
    <row r="94" customFormat="false" ht="15" hidden="false" customHeight="false" outlineLevel="0" collapsed="false">
      <c r="A94" s="17" t="s">
        <v>272</v>
      </c>
      <c r="B94" s="17" t="s">
        <v>273</v>
      </c>
      <c r="C94" s="20" t="s">
        <v>263</v>
      </c>
    </row>
    <row r="95" customFormat="false" ht="15" hidden="false" customHeight="false" outlineLevel="0" collapsed="false">
      <c r="A95" s="17" t="s">
        <v>48</v>
      </c>
      <c r="B95" s="17" t="s">
        <v>274</v>
      </c>
      <c r="C95" s="20" t="s">
        <v>263</v>
      </c>
    </row>
    <row r="96" customFormat="false" ht="15" hidden="false" customHeight="false" outlineLevel="0" collapsed="false">
      <c r="A96" s="17" t="s">
        <v>275</v>
      </c>
      <c r="B96" s="17" t="s">
        <v>276</v>
      </c>
      <c r="C96" s="20" t="s">
        <v>263</v>
      </c>
    </row>
    <row r="97" customFormat="false" ht="15" hidden="false" customHeight="false" outlineLevel="0" collapsed="false">
      <c r="A97" s="17" t="s">
        <v>51</v>
      </c>
      <c r="B97" s="17" t="s">
        <v>52</v>
      </c>
      <c r="C97" s="20" t="s">
        <v>263</v>
      </c>
    </row>
    <row r="98" customFormat="false" ht="15" hidden="false" customHeight="false" outlineLevel="0" collapsed="false">
      <c r="A98" s="17" t="s">
        <v>277</v>
      </c>
      <c r="B98" s="17" t="s">
        <v>278</v>
      </c>
      <c r="C98" s="20" t="s">
        <v>279</v>
      </c>
    </row>
    <row r="99" customFormat="false" ht="15" hidden="false" customHeight="false" outlineLevel="0" collapsed="false">
      <c r="A99" s="17" t="s">
        <v>280</v>
      </c>
      <c r="B99" s="17" t="s">
        <v>281</v>
      </c>
      <c r="C99" s="20" t="s">
        <v>279</v>
      </c>
    </row>
    <row r="100" customFormat="false" ht="15" hidden="false" customHeight="false" outlineLevel="0" collapsed="false">
      <c r="A100" s="17" t="s">
        <v>282</v>
      </c>
      <c r="B100" s="17" t="s">
        <v>283</v>
      </c>
      <c r="C100" s="20" t="s">
        <v>279</v>
      </c>
    </row>
    <row r="101" customFormat="false" ht="15" hidden="false" customHeight="false" outlineLevel="0" collapsed="false">
      <c r="A101" s="17" t="s">
        <v>284</v>
      </c>
      <c r="B101" s="17" t="s">
        <v>285</v>
      </c>
      <c r="C101" s="20" t="s">
        <v>279</v>
      </c>
    </row>
    <row r="102" customFormat="false" ht="15" hidden="false" customHeight="false" outlineLevel="0" collapsed="false">
      <c r="A102" s="17" t="s">
        <v>286</v>
      </c>
      <c r="B102" s="17" t="s">
        <v>287</v>
      </c>
      <c r="C102" s="20" t="s">
        <v>279</v>
      </c>
    </row>
    <row r="103" customFormat="false" ht="15" hidden="false" customHeight="false" outlineLevel="0" collapsed="false">
      <c r="A103" s="17" t="s">
        <v>288</v>
      </c>
      <c r="B103" s="17" t="s">
        <v>289</v>
      </c>
      <c r="C103" s="20" t="s">
        <v>279</v>
      </c>
    </row>
    <row r="104" customFormat="false" ht="15" hidden="false" customHeight="false" outlineLevel="0" collapsed="false">
      <c r="A104" s="17" t="s">
        <v>290</v>
      </c>
      <c r="B104" s="17" t="s">
        <v>291</v>
      </c>
      <c r="C104" s="20" t="s">
        <v>279</v>
      </c>
    </row>
    <row r="105" customFormat="false" ht="15" hidden="false" customHeight="false" outlineLevel="0" collapsed="false">
      <c r="A105" s="17" t="s">
        <v>292</v>
      </c>
      <c r="B105" s="17" t="s">
        <v>293</v>
      </c>
      <c r="C105" s="20" t="s">
        <v>279</v>
      </c>
    </row>
    <row r="106" customFormat="false" ht="15" hidden="false" customHeight="false" outlineLevel="0" collapsed="false">
      <c r="A106" s="17" t="s">
        <v>294</v>
      </c>
      <c r="B106" s="17" t="s">
        <v>295</v>
      </c>
      <c r="C106" s="20" t="s">
        <v>279</v>
      </c>
    </row>
    <row r="107" customFormat="false" ht="15" hidden="false" customHeight="false" outlineLevel="0" collapsed="false">
      <c r="A107" s="17" t="s">
        <v>296</v>
      </c>
      <c r="B107" s="17" t="s">
        <v>297</v>
      </c>
      <c r="C107" s="20" t="s">
        <v>279</v>
      </c>
    </row>
    <row r="108" customFormat="false" ht="15" hidden="false" customHeight="false" outlineLevel="0" collapsed="false">
      <c r="A108" s="17" t="s">
        <v>298</v>
      </c>
      <c r="B108" s="17" t="s">
        <v>299</v>
      </c>
      <c r="C108" s="20" t="s">
        <v>279</v>
      </c>
    </row>
    <row r="109" customFormat="false" ht="15" hidden="false" customHeight="false" outlineLevel="0" collapsed="false">
      <c r="A109" s="17" t="s">
        <v>300</v>
      </c>
      <c r="B109" s="17" t="s">
        <v>301</v>
      </c>
      <c r="C109" s="20" t="s">
        <v>302</v>
      </c>
    </row>
    <row r="110" customFormat="false" ht="15" hidden="false" customHeight="false" outlineLevel="0" collapsed="false">
      <c r="A110" s="17" t="s">
        <v>303</v>
      </c>
      <c r="B110" s="17" t="s">
        <v>304</v>
      </c>
      <c r="C110" s="20" t="s">
        <v>302</v>
      </c>
    </row>
    <row r="111" customFormat="false" ht="15" hidden="false" customHeight="false" outlineLevel="0" collapsed="false">
      <c r="A111" s="17" t="s">
        <v>305</v>
      </c>
      <c r="B111" s="17" t="s">
        <v>306</v>
      </c>
      <c r="C111" s="20" t="s">
        <v>307</v>
      </c>
    </row>
    <row r="112" customFormat="false" ht="15" hidden="false" customHeight="false" outlineLevel="0" collapsed="false">
      <c r="A112" s="17" t="s">
        <v>308</v>
      </c>
      <c r="B112" s="17" t="s">
        <v>309</v>
      </c>
      <c r="C112" s="20" t="s">
        <v>307</v>
      </c>
    </row>
    <row r="113" customFormat="false" ht="15" hidden="false" customHeight="false" outlineLevel="0" collapsed="false">
      <c r="A113" s="17" t="s">
        <v>310</v>
      </c>
      <c r="B113" s="17" t="s">
        <v>311</v>
      </c>
      <c r="C113" s="20" t="s">
        <v>307</v>
      </c>
    </row>
    <row r="114" customFormat="false" ht="15" hidden="false" customHeight="false" outlineLevel="0" collapsed="false">
      <c r="A114" s="17" t="s">
        <v>312</v>
      </c>
      <c r="B114" s="17" t="s">
        <v>313</v>
      </c>
      <c r="C114" s="20" t="s">
        <v>307</v>
      </c>
    </row>
    <row r="115" customFormat="false" ht="15" hidden="false" customHeight="false" outlineLevel="0" collapsed="false">
      <c r="A115" s="17" t="s">
        <v>314</v>
      </c>
      <c r="B115" s="17" t="s">
        <v>315</v>
      </c>
      <c r="C115" s="20" t="s">
        <v>307</v>
      </c>
    </row>
    <row r="116" customFormat="false" ht="15" hidden="false" customHeight="false" outlineLevel="0" collapsed="false">
      <c r="A116" s="17" t="s">
        <v>316</v>
      </c>
      <c r="B116" s="17" t="s">
        <v>317</v>
      </c>
      <c r="C116" s="20" t="s">
        <v>307</v>
      </c>
    </row>
    <row r="117" customFormat="false" ht="15" hidden="false" customHeight="false" outlineLevel="0" collapsed="false">
      <c r="A117" s="17" t="s">
        <v>318</v>
      </c>
      <c r="B117" s="17" t="s">
        <v>319</v>
      </c>
      <c r="C117" s="20" t="s">
        <v>307</v>
      </c>
    </row>
    <row r="118" customFormat="false" ht="15" hidden="false" customHeight="false" outlineLevel="0" collapsed="false">
      <c r="A118" s="17" t="s">
        <v>320</v>
      </c>
      <c r="B118" s="17" t="s">
        <v>321</v>
      </c>
      <c r="C118" s="20" t="s">
        <v>307</v>
      </c>
    </row>
    <row r="119" customFormat="false" ht="15" hidden="false" customHeight="false" outlineLevel="0" collapsed="false">
      <c r="A119" s="17" t="s">
        <v>322</v>
      </c>
      <c r="B119" s="17" t="s">
        <v>323</v>
      </c>
      <c r="C119" s="20" t="s">
        <v>307</v>
      </c>
    </row>
    <row r="120" customFormat="false" ht="15" hidden="false" customHeight="false" outlineLevel="0" collapsed="false">
      <c r="A120" s="17" t="s">
        <v>324</v>
      </c>
      <c r="B120" s="17" t="s">
        <v>325</v>
      </c>
      <c r="C120" s="20" t="s">
        <v>307</v>
      </c>
    </row>
    <row r="121" customFormat="false" ht="15" hidden="false" customHeight="false" outlineLevel="0" collapsed="false">
      <c r="A121" s="17" t="s">
        <v>326</v>
      </c>
      <c r="B121" s="17" t="s">
        <v>327</v>
      </c>
      <c r="C121" s="20" t="s">
        <v>307</v>
      </c>
    </row>
    <row r="122" customFormat="false" ht="15" hidden="false" customHeight="false" outlineLevel="0" collapsed="false">
      <c r="A122" s="17" t="s">
        <v>34</v>
      </c>
      <c r="B122" s="17" t="s">
        <v>35</v>
      </c>
      <c r="C122" s="20" t="s">
        <v>328</v>
      </c>
    </row>
    <row r="123" customFormat="false" ht="15" hidden="false" customHeight="false" outlineLevel="0" collapsed="false">
      <c r="A123" s="17" t="s">
        <v>93</v>
      </c>
      <c r="B123" s="17" t="s">
        <v>329</v>
      </c>
      <c r="C123" s="20" t="s">
        <v>328</v>
      </c>
    </row>
    <row r="124" customFormat="false" ht="15" hidden="false" customHeight="false" outlineLevel="0" collapsed="false">
      <c r="A124" s="17" t="s">
        <v>71</v>
      </c>
      <c r="B124" s="17" t="s">
        <v>72</v>
      </c>
      <c r="C124" s="20" t="s">
        <v>328</v>
      </c>
    </row>
    <row r="125" customFormat="false" ht="15" hidden="false" customHeight="false" outlineLevel="0" collapsed="false">
      <c r="A125" s="17" t="s">
        <v>91</v>
      </c>
      <c r="B125" s="17" t="s">
        <v>330</v>
      </c>
      <c r="C125" s="20" t="s">
        <v>328</v>
      </c>
    </row>
    <row r="126" customFormat="false" ht="15" hidden="false" customHeight="false" outlineLevel="0" collapsed="false">
      <c r="A126" s="17" t="s">
        <v>331</v>
      </c>
      <c r="B126" s="17" t="s">
        <v>332</v>
      </c>
      <c r="C126" s="20" t="s">
        <v>328</v>
      </c>
    </row>
    <row r="127" customFormat="false" ht="15" hidden="false" customHeight="false" outlineLevel="0" collapsed="false">
      <c r="A127" s="17" t="s">
        <v>59</v>
      </c>
      <c r="B127" s="17" t="s">
        <v>60</v>
      </c>
      <c r="C127" s="20" t="s">
        <v>328</v>
      </c>
    </row>
    <row r="128" customFormat="false" ht="15" hidden="false" customHeight="false" outlineLevel="0" collapsed="false">
      <c r="A128" s="17" t="s">
        <v>56</v>
      </c>
      <c r="B128" s="17" t="s">
        <v>333</v>
      </c>
      <c r="C128" s="20" t="s">
        <v>328</v>
      </c>
    </row>
    <row r="129" customFormat="false" ht="15" hidden="false" customHeight="false" outlineLevel="0" collapsed="false">
      <c r="A129" s="17" t="s">
        <v>334</v>
      </c>
      <c r="B129" s="17" t="s">
        <v>335</v>
      </c>
      <c r="C129" s="20" t="s">
        <v>328</v>
      </c>
    </row>
    <row r="130" customFormat="false" ht="15" hidden="false" customHeight="false" outlineLevel="0" collapsed="false">
      <c r="A130" s="17" t="s">
        <v>74</v>
      </c>
      <c r="B130" s="17" t="s">
        <v>75</v>
      </c>
      <c r="C130" s="20" t="s">
        <v>328</v>
      </c>
    </row>
    <row r="131" customFormat="false" ht="15" hidden="false" customHeight="false" outlineLevel="0" collapsed="false">
      <c r="A131" s="17" t="s">
        <v>336</v>
      </c>
      <c r="B131" s="17" t="s">
        <v>337</v>
      </c>
      <c r="C131" s="20" t="s">
        <v>328</v>
      </c>
    </row>
    <row r="132" customFormat="false" ht="15" hidden="false" customHeight="false" outlineLevel="0" collapsed="false">
      <c r="A132" s="17" t="s">
        <v>338</v>
      </c>
      <c r="B132" s="17" t="s">
        <v>339</v>
      </c>
      <c r="C132" s="20" t="s">
        <v>328</v>
      </c>
    </row>
    <row r="133" customFormat="false" ht="15" hidden="false" customHeight="false" outlineLevel="0" collapsed="false">
      <c r="A133" s="17" t="s">
        <v>340</v>
      </c>
      <c r="B133" s="17" t="s">
        <v>341</v>
      </c>
      <c r="C133" s="20" t="s">
        <v>328</v>
      </c>
    </row>
    <row r="134" customFormat="false" ht="15" hidden="false" customHeight="false" outlineLevel="0" collapsed="false">
      <c r="A134" s="17" t="s">
        <v>342</v>
      </c>
      <c r="B134" s="17" t="s">
        <v>343</v>
      </c>
      <c r="C134" s="20" t="s">
        <v>328</v>
      </c>
    </row>
    <row r="135" customFormat="false" ht="15" hidden="false" customHeight="false" outlineLevel="0" collapsed="false">
      <c r="A135" s="17" t="s">
        <v>344</v>
      </c>
      <c r="B135" s="17" t="s">
        <v>345</v>
      </c>
      <c r="C135" s="20" t="s">
        <v>346</v>
      </c>
    </row>
    <row r="136" customFormat="false" ht="15" hidden="false" customHeight="false" outlineLevel="0" collapsed="false">
      <c r="A136" s="17" t="s">
        <v>347</v>
      </c>
      <c r="B136" s="17" t="s">
        <v>348</v>
      </c>
      <c r="C136" s="20" t="s">
        <v>346</v>
      </c>
    </row>
    <row r="137" customFormat="false" ht="15" hidden="false" customHeight="false" outlineLevel="0" collapsed="false">
      <c r="A137" s="17" t="s">
        <v>349</v>
      </c>
      <c r="B137" s="17" t="s">
        <v>350</v>
      </c>
      <c r="C137" s="20" t="s">
        <v>346</v>
      </c>
    </row>
    <row r="138" customFormat="false" ht="15" hidden="false" customHeight="false" outlineLevel="0" collapsed="false">
      <c r="A138" s="17" t="s">
        <v>351</v>
      </c>
      <c r="B138" s="17" t="s">
        <v>352</v>
      </c>
      <c r="C138" s="20" t="s">
        <v>346</v>
      </c>
    </row>
    <row r="139" customFormat="false" ht="15" hidden="false" customHeight="false" outlineLevel="0" collapsed="false">
      <c r="A139" s="17" t="s">
        <v>353</v>
      </c>
      <c r="B139" s="17" t="s">
        <v>354</v>
      </c>
      <c r="C139" s="20" t="s">
        <v>355</v>
      </c>
    </row>
    <row r="140" customFormat="false" ht="15" hidden="false" customHeight="false" outlineLevel="0" collapsed="false">
      <c r="A140" s="17" t="s">
        <v>69</v>
      </c>
      <c r="B140" s="17" t="s">
        <v>70</v>
      </c>
      <c r="C140" s="20" t="s">
        <v>355</v>
      </c>
    </row>
    <row r="141" customFormat="false" ht="15" hidden="false" customHeight="false" outlineLevel="0" collapsed="false">
      <c r="A141" s="17" t="s">
        <v>86</v>
      </c>
      <c r="B141" s="17" t="s">
        <v>87</v>
      </c>
      <c r="C141" s="20" t="s">
        <v>355</v>
      </c>
    </row>
    <row r="142" customFormat="false" ht="15" hidden="false" customHeight="false" outlineLevel="0" collapsed="false">
      <c r="A142" s="17" t="s">
        <v>356</v>
      </c>
      <c r="B142" s="17" t="s">
        <v>357</v>
      </c>
      <c r="C142" s="20" t="s">
        <v>355</v>
      </c>
    </row>
    <row r="143" customFormat="false" ht="15" hidden="false" customHeight="false" outlineLevel="0" collapsed="false">
      <c r="A143" s="17" t="s">
        <v>84</v>
      </c>
      <c r="B143" s="17" t="s">
        <v>85</v>
      </c>
      <c r="C143" s="20" t="s">
        <v>355</v>
      </c>
    </row>
    <row r="144" customFormat="false" ht="15" hidden="false" customHeight="false" outlineLevel="0" collapsed="false">
      <c r="A144" s="17" t="s">
        <v>358</v>
      </c>
      <c r="B144" s="17" t="s">
        <v>359</v>
      </c>
      <c r="C144" s="20" t="s">
        <v>355</v>
      </c>
    </row>
    <row r="145" customFormat="false" ht="15" hidden="false" customHeight="false" outlineLevel="0" collapsed="false">
      <c r="A145" s="17" t="s">
        <v>360</v>
      </c>
      <c r="B145" s="17" t="s">
        <v>361</v>
      </c>
      <c r="C145" s="20" t="s">
        <v>355</v>
      </c>
    </row>
    <row r="146" customFormat="false" ht="15" hidden="false" customHeight="false" outlineLevel="0" collapsed="false">
      <c r="A146" s="17" t="s">
        <v>88</v>
      </c>
      <c r="B146" s="17" t="s">
        <v>89</v>
      </c>
      <c r="C146" s="20" t="s">
        <v>355</v>
      </c>
    </row>
    <row r="147" customFormat="false" ht="15" hidden="false" customHeight="false" outlineLevel="0" collapsed="false">
      <c r="A147" s="17" t="s">
        <v>362</v>
      </c>
      <c r="B147" s="17" t="s">
        <v>363</v>
      </c>
      <c r="C147" s="20" t="s">
        <v>364</v>
      </c>
    </row>
    <row r="148" customFormat="false" ht="15" hidden="false" customHeight="false" outlineLevel="0" collapsed="false">
      <c r="A148" s="17" t="s">
        <v>365</v>
      </c>
      <c r="B148" s="17" t="s">
        <v>366</v>
      </c>
      <c r="C148" s="20" t="s">
        <v>364</v>
      </c>
    </row>
    <row r="149" customFormat="false" ht="15" hidden="false" customHeight="false" outlineLevel="0" collapsed="false">
      <c r="A149" s="17" t="s">
        <v>367</v>
      </c>
      <c r="B149" s="17" t="s">
        <v>368</v>
      </c>
      <c r="C149" s="20" t="s">
        <v>364</v>
      </c>
    </row>
    <row r="150" customFormat="false" ht="15" hidden="false" customHeight="false" outlineLevel="0" collapsed="false">
      <c r="A150" s="17" t="s">
        <v>369</v>
      </c>
      <c r="B150" s="17" t="s">
        <v>370</v>
      </c>
      <c r="C150" s="20" t="s">
        <v>364</v>
      </c>
    </row>
    <row r="151" customFormat="false" ht="15" hidden="false" customHeight="false" outlineLevel="0" collapsed="false">
      <c r="A151" s="17" t="s">
        <v>371</v>
      </c>
      <c r="B151" s="17" t="s">
        <v>372</v>
      </c>
      <c r="C151" s="20" t="s">
        <v>364</v>
      </c>
    </row>
    <row r="152" customFormat="false" ht="15" hidden="false" customHeight="false" outlineLevel="0" collapsed="false">
      <c r="A152" s="17" t="s">
        <v>373</v>
      </c>
      <c r="B152" s="17" t="s">
        <v>374</v>
      </c>
      <c r="C152" s="20" t="s">
        <v>364</v>
      </c>
    </row>
    <row r="153" customFormat="false" ht="15" hidden="false" customHeight="false" outlineLevel="0" collapsed="false">
      <c r="A153" s="17" t="s">
        <v>375</v>
      </c>
      <c r="B153" s="17" t="s">
        <v>376</v>
      </c>
      <c r="C153" s="20" t="s">
        <v>377</v>
      </c>
    </row>
    <row r="154" customFormat="false" ht="15" hidden="false" customHeight="false" outlineLevel="0" collapsed="false">
      <c r="A154" s="17" t="s">
        <v>378</v>
      </c>
      <c r="B154" s="17" t="s">
        <v>379</v>
      </c>
      <c r="C154" s="20" t="s">
        <v>377</v>
      </c>
    </row>
    <row r="155" customFormat="false" ht="15" hidden="false" customHeight="false" outlineLevel="0" collapsed="false">
      <c r="A155" s="17" t="s">
        <v>380</v>
      </c>
      <c r="B155" s="17" t="s">
        <v>381</v>
      </c>
      <c r="C155" s="20" t="s">
        <v>377</v>
      </c>
    </row>
    <row r="156" customFormat="false" ht="15" hidden="false" customHeight="false" outlineLevel="0" collapsed="false">
      <c r="A156" s="17" t="s">
        <v>382</v>
      </c>
      <c r="B156" s="17" t="s">
        <v>383</v>
      </c>
      <c r="C156" s="20" t="s">
        <v>377</v>
      </c>
    </row>
    <row r="157" customFormat="false" ht="15" hidden="false" customHeight="false" outlineLevel="0" collapsed="false">
      <c r="A157" s="17" t="s">
        <v>384</v>
      </c>
      <c r="B157" s="17" t="s">
        <v>385</v>
      </c>
      <c r="C157" s="20" t="s">
        <v>377</v>
      </c>
    </row>
    <row r="158" customFormat="false" ht="15" hidden="false" customHeight="false" outlineLevel="0" collapsed="false">
      <c r="A158" s="17" t="s">
        <v>386</v>
      </c>
      <c r="B158" s="17" t="s">
        <v>387</v>
      </c>
      <c r="C158" s="20" t="s">
        <v>377</v>
      </c>
    </row>
    <row r="159" customFormat="false" ht="15" hidden="false" customHeight="false" outlineLevel="0" collapsed="false">
      <c r="A159" s="17" t="s">
        <v>388</v>
      </c>
      <c r="B159" s="17" t="s">
        <v>389</v>
      </c>
      <c r="C159" s="20" t="s">
        <v>377</v>
      </c>
    </row>
    <row r="160" customFormat="false" ht="15" hidden="false" customHeight="false" outlineLevel="0" collapsed="false">
      <c r="A160" s="17" t="s">
        <v>390</v>
      </c>
      <c r="B160" s="17" t="s">
        <v>391</v>
      </c>
      <c r="C160" s="20" t="s">
        <v>392</v>
      </c>
    </row>
    <row r="161" customFormat="false" ht="15" hidden="false" customHeight="false" outlineLevel="0" collapsed="false">
      <c r="A161" s="17" t="s">
        <v>393</v>
      </c>
      <c r="B161" s="17" t="s">
        <v>394</v>
      </c>
      <c r="C161" s="20" t="s">
        <v>392</v>
      </c>
    </row>
    <row r="162" customFormat="false" ht="15" hidden="false" customHeight="false" outlineLevel="0" collapsed="false">
      <c r="A162" s="17" t="s">
        <v>395</v>
      </c>
      <c r="B162" s="17" t="s">
        <v>396</v>
      </c>
      <c r="C162" s="20" t="s">
        <v>392</v>
      </c>
    </row>
    <row r="163" customFormat="false" ht="15" hidden="false" customHeight="false" outlineLevel="0" collapsed="false">
      <c r="A163" s="17" t="s">
        <v>397</v>
      </c>
      <c r="B163" s="17" t="s">
        <v>398</v>
      </c>
      <c r="C163" s="20" t="s">
        <v>392</v>
      </c>
    </row>
    <row r="164" customFormat="false" ht="15" hidden="false" customHeight="false" outlineLevel="0" collapsed="false">
      <c r="A164" s="17" t="s">
        <v>399</v>
      </c>
      <c r="B164" s="17" t="s">
        <v>400</v>
      </c>
      <c r="C164" s="20" t="s">
        <v>392</v>
      </c>
    </row>
    <row r="165" customFormat="false" ht="15" hidden="false" customHeight="false" outlineLevel="0" collapsed="false">
      <c r="A165" s="17" t="s">
        <v>401</v>
      </c>
      <c r="B165" s="17" t="s">
        <v>402</v>
      </c>
      <c r="C165" s="20" t="s">
        <v>392</v>
      </c>
    </row>
    <row r="166" customFormat="false" ht="15" hidden="false" customHeight="false" outlineLevel="0" collapsed="false">
      <c r="A166" s="17" t="s">
        <v>403</v>
      </c>
      <c r="B166" s="17" t="s">
        <v>404</v>
      </c>
      <c r="C166" s="20" t="s">
        <v>392</v>
      </c>
    </row>
    <row r="167" customFormat="false" ht="15" hidden="false" customHeight="false" outlineLevel="0" collapsed="false">
      <c r="A167" s="17" t="s">
        <v>405</v>
      </c>
      <c r="B167" s="17" t="s">
        <v>406</v>
      </c>
      <c r="C167" s="20" t="s">
        <v>392</v>
      </c>
    </row>
    <row r="168" customFormat="false" ht="15" hidden="false" customHeight="false" outlineLevel="0" collapsed="false">
      <c r="A168" s="17" t="s">
        <v>407</v>
      </c>
      <c r="B168" s="17" t="s">
        <v>408</v>
      </c>
      <c r="C168" s="20" t="s">
        <v>409</v>
      </c>
    </row>
    <row r="169" customFormat="false" ht="15" hidden="false" customHeight="false" outlineLevel="0" collapsed="false">
      <c r="A169" s="17" t="s">
        <v>410</v>
      </c>
      <c r="B169" s="17" t="s">
        <v>411</v>
      </c>
      <c r="C169" s="20" t="s">
        <v>409</v>
      </c>
    </row>
    <row r="170" customFormat="false" ht="15" hidden="false" customHeight="false" outlineLevel="0" collapsed="false">
      <c r="A170" s="17" t="s">
        <v>412</v>
      </c>
      <c r="B170" s="17" t="s">
        <v>413</v>
      </c>
      <c r="C170" s="20" t="s">
        <v>409</v>
      </c>
    </row>
    <row r="171" customFormat="false" ht="15" hidden="false" customHeight="false" outlineLevel="0" collapsed="false">
      <c r="A171" s="17" t="s">
        <v>414</v>
      </c>
      <c r="B171" s="17" t="s">
        <v>415</v>
      </c>
      <c r="C171" s="20" t="s">
        <v>409</v>
      </c>
    </row>
    <row r="172" customFormat="false" ht="15" hidden="false" customHeight="false" outlineLevel="0" collapsed="false">
      <c r="A172" s="17" t="s">
        <v>416</v>
      </c>
      <c r="B172" s="17" t="s">
        <v>417</v>
      </c>
      <c r="C172" s="20" t="s">
        <v>409</v>
      </c>
    </row>
    <row r="173" customFormat="false" ht="15" hidden="false" customHeight="false" outlineLevel="0" collapsed="false">
      <c r="A173" s="17" t="s">
        <v>79</v>
      </c>
      <c r="B173" s="17" t="s">
        <v>80</v>
      </c>
      <c r="C173" s="20" t="s">
        <v>409</v>
      </c>
    </row>
    <row r="174" customFormat="false" ht="15" hidden="false" customHeight="false" outlineLevel="0" collapsed="false">
      <c r="A174" s="17" t="s">
        <v>418</v>
      </c>
      <c r="B174" s="17" t="s">
        <v>419</v>
      </c>
      <c r="C174" s="20" t="s">
        <v>409</v>
      </c>
    </row>
    <row r="175" customFormat="false" ht="15" hidden="false" customHeight="false" outlineLevel="0" collapsed="false">
      <c r="A175" s="17" t="s">
        <v>420</v>
      </c>
      <c r="B175" s="17" t="s">
        <v>421</v>
      </c>
      <c r="C175" s="20" t="s">
        <v>409</v>
      </c>
    </row>
    <row r="176" customFormat="false" ht="15" hidden="false" customHeight="false" outlineLevel="0" collapsed="false">
      <c r="A176" s="17" t="s">
        <v>422</v>
      </c>
      <c r="B176" s="17" t="s">
        <v>423</v>
      </c>
      <c r="C176" s="20" t="s">
        <v>409</v>
      </c>
    </row>
    <row r="177" customFormat="false" ht="15" hidden="false" customHeight="false" outlineLevel="0" collapsed="false">
      <c r="A177" s="17" t="s">
        <v>424</v>
      </c>
      <c r="B177" s="17" t="s">
        <v>425</v>
      </c>
      <c r="C177" s="20" t="s">
        <v>409</v>
      </c>
    </row>
    <row r="178" customFormat="false" ht="15" hidden="false" customHeight="false" outlineLevel="0" collapsed="false">
      <c r="A178" s="17" t="s">
        <v>426</v>
      </c>
      <c r="B178" s="17" t="s">
        <v>427</v>
      </c>
      <c r="C178" s="20" t="s">
        <v>409</v>
      </c>
    </row>
    <row r="179" customFormat="false" ht="15" hidden="false" customHeight="false" outlineLevel="0" collapsed="false">
      <c r="A179" s="17" t="s">
        <v>428</v>
      </c>
      <c r="B179" s="17" t="s">
        <v>429</v>
      </c>
      <c r="C179" s="20" t="s">
        <v>409</v>
      </c>
    </row>
    <row r="180" customFormat="false" ht="15" hidden="false" customHeight="false" outlineLevel="0" collapsed="false">
      <c r="A180" s="17" t="s">
        <v>430</v>
      </c>
      <c r="B180" s="17" t="s">
        <v>431</v>
      </c>
      <c r="C180" s="20" t="s">
        <v>409</v>
      </c>
    </row>
    <row r="181" customFormat="false" ht="15" hidden="false" customHeight="false" outlineLevel="0" collapsed="false">
      <c r="A181" s="17" t="s">
        <v>432</v>
      </c>
      <c r="B181" s="17" t="s">
        <v>433</v>
      </c>
      <c r="C181" s="20" t="s">
        <v>434</v>
      </c>
    </row>
    <row r="182" customFormat="false" ht="15" hidden="false" customHeight="false" outlineLevel="0" collapsed="false">
      <c r="A182" s="17" t="s">
        <v>435</v>
      </c>
      <c r="B182" s="17" t="s">
        <v>436</v>
      </c>
      <c r="C182" s="20" t="s">
        <v>434</v>
      </c>
    </row>
    <row r="183" customFormat="false" ht="15" hidden="false" customHeight="false" outlineLevel="0" collapsed="false">
      <c r="A183" s="17" t="s">
        <v>437</v>
      </c>
      <c r="B183" s="17" t="s">
        <v>438</v>
      </c>
      <c r="C183" s="20" t="s">
        <v>434</v>
      </c>
    </row>
    <row r="184" customFormat="false" ht="15" hidden="false" customHeight="false" outlineLevel="0" collapsed="false">
      <c r="A184" s="17" t="s">
        <v>439</v>
      </c>
      <c r="B184" s="17" t="s">
        <v>440</v>
      </c>
      <c r="C184" s="20" t="s">
        <v>434</v>
      </c>
    </row>
    <row r="185" customFormat="false" ht="15" hidden="false" customHeight="false" outlineLevel="0" collapsed="false">
      <c r="A185" s="17" t="s">
        <v>441</v>
      </c>
      <c r="B185" s="17" t="s">
        <v>442</v>
      </c>
      <c r="C185" s="20" t="s">
        <v>434</v>
      </c>
    </row>
    <row r="186" customFormat="false" ht="15" hidden="false" customHeight="false" outlineLevel="0" collapsed="false">
      <c r="A186" s="17" t="s">
        <v>443</v>
      </c>
      <c r="B186" s="17" t="s">
        <v>444</v>
      </c>
      <c r="C186" s="20" t="s">
        <v>434</v>
      </c>
    </row>
    <row r="187" customFormat="false" ht="15" hidden="false" customHeight="false" outlineLevel="0" collapsed="false">
      <c r="A187" s="17" t="s">
        <v>445</v>
      </c>
      <c r="B187" s="17" t="s">
        <v>446</v>
      </c>
      <c r="C187" s="20" t="s">
        <v>434</v>
      </c>
    </row>
    <row r="188" customFormat="false" ht="15" hidden="false" customHeight="false" outlineLevel="0" collapsed="false">
      <c r="A188" s="17" t="s">
        <v>447</v>
      </c>
      <c r="B188" s="17" t="s">
        <v>448</v>
      </c>
      <c r="C188" s="20" t="s">
        <v>434</v>
      </c>
    </row>
    <row r="189" customFormat="false" ht="15" hidden="false" customHeight="false" outlineLevel="0" collapsed="false">
      <c r="A189" s="17" t="s">
        <v>449</v>
      </c>
      <c r="B189" s="17" t="s">
        <v>450</v>
      </c>
      <c r="C189" s="20" t="s">
        <v>434</v>
      </c>
    </row>
    <row r="190" customFormat="false" ht="15" hidden="false" customHeight="false" outlineLevel="0" collapsed="false">
      <c r="A190" s="17" t="s">
        <v>451</v>
      </c>
      <c r="B190" s="17" t="s">
        <v>452</v>
      </c>
      <c r="C190" s="20" t="s">
        <v>453</v>
      </c>
    </row>
    <row r="191" customFormat="false" ht="15" hidden="false" customHeight="false" outlineLevel="0" collapsed="false">
      <c r="A191" s="17" t="s">
        <v>454</v>
      </c>
      <c r="B191" s="17" t="s">
        <v>455</v>
      </c>
      <c r="C191" s="20" t="s">
        <v>453</v>
      </c>
    </row>
    <row r="192" customFormat="false" ht="15" hidden="false" customHeight="false" outlineLevel="0" collapsed="false">
      <c r="A192" s="17" t="s">
        <v>456</v>
      </c>
      <c r="B192" s="17" t="s">
        <v>457</v>
      </c>
      <c r="C192" s="20" t="s">
        <v>453</v>
      </c>
    </row>
    <row r="193" customFormat="false" ht="15" hidden="false" customHeight="false" outlineLevel="0" collapsed="false">
      <c r="A193" s="17" t="s">
        <v>458</v>
      </c>
      <c r="B193" s="17" t="s">
        <v>459</v>
      </c>
      <c r="C193" s="20" t="s">
        <v>453</v>
      </c>
    </row>
    <row r="194" customFormat="false" ht="15" hidden="false" customHeight="false" outlineLevel="0" collapsed="false">
      <c r="A194" s="17" t="s">
        <v>460</v>
      </c>
      <c r="B194" s="17" t="s">
        <v>461</v>
      </c>
      <c r="C194" s="20" t="s">
        <v>453</v>
      </c>
    </row>
    <row r="195" customFormat="false" ht="15" hidden="false" customHeight="false" outlineLevel="0" collapsed="false">
      <c r="A195" s="17" t="s">
        <v>462</v>
      </c>
      <c r="B195" s="17" t="s">
        <v>463</v>
      </c>
      <c r="C195" s="20" t="s">
        <v>453</v>
      </c>
    </row>
    <row r="196" customFormat="false" ht="15" hidden="false" customHeight="false" outlineLevel="0" collapsed="false">
      <c r="A196" s="17" t="s">
        <v>464</v>
      </c>
      <c r="B196" s="17" t="s">
        <v>465</v>
      </c>
      <c r="C196" s="20" t="s">
        <v>453</v>
      </c>
    </row>
    <row r="197" customFormat="false" ht="15" hidden="false" customHeight="false" outlineLevel="0" collapsed="false">
      <c r="A197" s="17" t="s">
        <v>466</v>
      </c>
      <c r="B197" s="17" t="s">
        <v>467</v>
      </c>
      <c r="C197" s="20" t="s">
        <v>468</v>
      </c>
    </row>
    <row r="198" customFormat="false" ht="15" hidden="false" customHeight="false" outlineLevel="0" collapsed="false">
      <c r="A198" s="17" t="s">
        <v>469</v>
      </c>
      <c r="B198" s="17" t="s">
        <v>470</v>
      </c>
      <c r="C198" s="20" t="s">
        <v>468</v>
      </c>
    </row>
    <row r="199" customFormat="false" ht="15" hidden="false" customHeight="false" outlineLevel="0" collapsed="false">
      <c r="A199" s="17" t="s">
        <v>471</v>
      </c>
      <c r="B199" s="17" t="s">
        <v>472</v>
      </c>
      <c r="C199" s="20" t="s">
        <v>468</v>
      </c>
    </row>
    <row r="200" customFormat="false" ht="15" hidden="false" customHeight="false" outlineLevel="0" collapsed="false">
      <c r="A200" s="17" t="s">
        <v>473</v>
      </c>
      <c r="B200" s="17" t="s">
        <v>474</v>
      </c>
      <c r="C200" s="20" t="s">
        <v>468</v>
      </c>
    </row>
    <row r="201" customFormat="false" ht="15" hidden="false" customHeight="false" outlineLevel="0" collapsed="false">
      <c r="A201" s="17" t="s">
        <v>475</v>
      </c>
      <c r="B201" s="17" t="s">
        <v>476</v>
      </c>
      <c r="C201" s="20" t="s">
        <v>477</v>
      </c>
    </row>
    <row r="202" customFormat="false" ht="15" hidden="false" customHeight="false" outlineLevel="0" collapsed="false">
      <c r="A202" s="17" t="s">
        <v>478</v>
      </c>
      <c r="B202" s="17" t="s">
        <v>479</v>
      </c>
      <c r="C202" s="20" t="s">
        <v>477</v>
      </c>
    </row>
    <row r="203" customFormat="false" ht="15" hidden="false" customHeight="false" outlineLevel="0" collapsed="false">
      <c r="A203" s="17" t="s">
        <v>480</v>
      </c>
      <c r="B203" s="17" t="s">
        <v>481</v>
      </c>
      <c r="C203" s="20" t="s">
        <v>477</v>
      </c>
    </row>
    <row r="204" customFormat="false" ht="15" hidden="false" customHeight="false" outlineLevel="0" collapsed="false">
      <c r="A204" s="17" t="s">
        <v>482</v>
      </c>
      <c r="B204" s="17" t="s">
        <v>483</v>
      </c>
      <c r="C204" s="20" t="s">
        <v>477</v>
      </c>
    </row>
    <row r="205" customFormat="false" ht="15" hidden="false" customHeight="false" outlineLevel="0" collapsed="false">
      <c r="A205" s="17" t="s">
        <v>484</v>
      </c>
      <c r="B205" s="17" t="s">
        <v>485</v>
      </c>
      <c r="C205" s="20" t="s">
        <v>477</v>
      </c>
    </row>
    <row r="206" customFormat="false" ht="15" hidden="false" customHeight="false" outlineLevel="0" collapsed="false">
      <c r="A206" s="17" t="s">
        <v>486</v>
      </c>
      <c r="B206" s="17" t="s">
        <v>487</v>
      </c>
      <c r="C206" s="20" t="s">
        <v>477</v>
      </c>
    </row>
    <row r="207" customFormat="false" ht="15" hidden="false" customHeight="false" outlineLevel="0" collapsed="false">
      <c r="A207" s="17" t="s">
        <v>488</v>
      </c>
      <c r="B207" s="17" t="s">
        <v>489</v>
      </c>
      <c r="C207" s="20" t="s">
        <v>477</v>
      </c>
    </row>
    <row r="208" customFormat="false" ht="15" hidden="false" customHeight="false" outlineLevel="0" collapsed="false">
      <c r="A208" s="17" t="s">
        <v>490</v>
      </c>
      <c r="B208" s="17" t="s">
        <v>491</v>
      </c>
      <c r="C208" s="20" t="s">
        <v>477</v>
      </c>
    </row>
    <row r="209" customFormat="false" ht="15" hidden="false" customHeight="false" outlineLevel="0" collapsed="false">
      <c r="A209" s="17" t="s">
        <v>342</v>
      </c>
      <c r="B209" s="17" t="s">
        <v>492</v>
      </c>
      <c r="C209" s="20" t="s">
        <v>477</v>
      </c>
    </row>
    <row r="210" customFormat="false" ht="15" hidden="false" customHeight="false" outlineLevel="0" collapsed="false">
      <c r="A210" s="17" t="s">
        <v>493</v>
      </c>
      <c r="B210" s="17" t="s">
        <v>494</v>
      </c>
      <c r="C210" s="20" t="s">
        <v>495</v>
      </c>
    </row>
    <row r="211" customFormat="false" ht="15" hidden="false" customHeight="false" outlineLevel="0" collapsed="false">
      <c r="A211" s="17" t="s">
        <v>496</v>
      </c>
      <c r="B211" s="17" t="s">
        <v>497</v>
      </c>
      <c r="C211" s="20" t="s">
        <v>495</v>
      </c>
    </row>
    <row r="212" customFormat="false" ht="15" hidden="false" customHeight="false" outlineLevel="0" collapsed="false">
      <c r="A212" s="17" t="s">
        <v>498</v>
      </c>
      <c r="B212" s="17" t="s">
        <v>499</v>
      </c>
      <c r="C212" s="20" t="s">
        <v>495</v>
      </c>
    </row>
    <row r="213" customFormat="false" ht="15" hidden="false" customHeight="false" outlineLevel="0" collapsed="false">
      <c r="A213" s="17" t="s">
        <v>500</v>
      </c>
      <c r="B213" s="17" t="s">
        <v>501</v>
      </c>
      <c r="C213" s="20" t="s">
        <v>495</v>
      </c>
    </row>
    <row r="214" customFormat="false" ht="15" hidden="false" customHeight="false" outlineLevel="0" collapsed="false">
      <c r="A214" s="17" t="s">
        <v>502</v>
      </c>
      <c r="B214" s="17" t="s">
        <v>503</v>
      </c>
      <c r="C214" s="20" t="s">
        <v>495</v>
      </c>
    </row>
    <row r="215" customFormat="false" ht="15" hidden="false" customHeight="false" outlineLevel="0" collapsed="false">
      <c r="A215" s="17" t="s">
        <v>504</v>
      </c>
      <c r="B215" s="17" t="s">
        <v>505</v>
      </c>
      <c r="C215" s="20" t="s">
        <v>495</v>
      </c>
    </row>
    <row r="216" customFormat="false" ht="15" hidden="false" customHeight="false" outlineLevel="0" collapsed="false">
      <c r="A216" s="17" t="s">
        <v>506</v>
      </c>
      <c r="B216" s="17" t="s">
        <v>507</v>
      </c>
      <c r="C216" s="20" t="s">
        <v>495</v>
      </c>
    </row>
    <row r="217" customFormat="false" ht="15" hidden="false" customHeight="false" outlineLevel="0" collapsed="false">
      <c r="A217" s="17" t="s">
        <v>508</v>
      </c>
      <c r="B217" s="17" t="s">
        <v>509</v>
      </c>
      <c r="C217" s="20" t="s">
        <v>495</v>
      </c>
    </row>
    <row r="218" customFormat="false" ht="15" hidden="false" customHeight="false" outlineLevel="0" collapsed="false">
      <c r="A218" s="17" t="s">
        <v>510</v>
      </c>
      <c r="B218" s="17" t="s">
        <v>511</v>
      </c>
      <c r="C218" s="20" t="s">
        <v>495</v>
      </c>
    </row>
    <row r="219" customFormat="false" ht="15" hidden="false" customHeight="false" outlineLevel="0" collapsed="false">
      <c r="A219" s="17" t="s">
        <v>512</v>
      </c>
      <c r="B219" s="17" t="s">
        <v>513</v>
      </c>
      <c r="C219" s="20" t="s">
        <v>495</v>
      </c>
    </row>
    <row r="220" customFormat="false" ht="15" hidden="false" customHeight="false" outlineLevel="0" collapsed="false">
      <c r="A220" s="17" t="s">
        <v>514</v>
      </c>
      <c r="B220" s="17" t="s">
        <v>515</v>
      </c>
      <c r="C220" s="20" t="s">
        <v>495</v>
      </c>
    </row>
    <row r="221" customFormat="false" ht="15" hidden="false" customHeight="false" outlineLevel="0" collapsed="false">
      <c r="A221" s="17" t="s">
        <v>516</v>
      </c>
      <c r="B221" s="17" t="s">
        <v>517</v>
      </c>
      <c r="C221" s="20" t="s">
        <v>495</v>
      </c>
    </row>
    <row r="222" customFormat="false" ht="15" hidden="false" customHeight="false" outlineLevel="0" collapsed="false">
      <c r="A222" s="17" t="s">
        <v>518</v>
      </c>
      <c r="B222" s="17" t="s">
        <v>519</v>
      </c>
      <c r="C222" s="20" t="s">
        <v>495</v>
      </c>
    </row>
    <row r="223" customFormat="false" ht="15" hidden="false" customHeight="false" outlineLevel="0" collapsed="false">
      <c r="A223" s="17" t="s">
        <v>520</v>
      </c>
      <c r="B223" s="17" t="s">
        <v>521</v>
      </c>
      <c r="C223" s="20" t="s">
        <v>495</v>
      </c>
    </row>
    <row r="224" customFormat="false" ht="15" hidden="false" customHeight="false" outlineLevel="0" collapsed="false">
      <c r="A224" s="17" t="s">
        <v>522</v>
      </c>
      <c r="B224" s="17" t="s">
        <v>523</v>
      </c>
      <c r="C224" s="20" t="s">
        <v>495</v>
      </c>
    </row>
    <row r="225" customFormat="false" ht="15" hidden="false" customHeight="false" outlineLevel="0" collapsed="false">
      <c r="A225" s="17" t="s">
        <v>524</v>
      </c>
      <c r="B225" s="17" t="s">
        <v>525</v>
      </c>
      <c r="C225" s="20" t="s">
        <v>526</v>
      </c>
    </row>
    <row r="226" customFormat="false" ht="15" hidden="false" customHeight="false" outlineLevel="0" collapsed="false">
      <c r="A226" s="17" t="s">
        <v>527</v>
      </c>
      <c r="B226" s="17" t="s">
        <v>528</v>
      </c>
      <c r="C226" s="20" t="s">
        <v>526</v>
      </c>
    </row>
    <row r="227" customFormat="false" ht="15" hidden="false" customHeight="false" outlineLevel="0" collapsed="false">
      <c r="A227" s="17" t="s">
        <v>529</v>
      </c>
      <c r="B227" s="17" t="s">
        <v>530</v>
      </c>
      <c r="C227" s="20" t="s">
        <v>526</v>
      </c>
    </row>
    <row r="228" customFormat="false" ht="15" hidden="false" customHeight="false" outlineLevel="0" collapsed="false">
      <c r="A228" s="17" t="s">
        <v>531</v>
      </c>
      <c r="B228" s="17" t="s">
        <v>532</v>
      </c>
      <c r="C228" s="20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2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533</v>
      </c>
    </row>
    <row r="3" customFormat="false" ht="15" hidden="false" customHeight="false" outlineLevel="0" collapsed="false">
      <c r="A3" s="15" t="s">
        <v>534</v>
      </c>
      <c r="B3" s="18" t="n">
        <v>60</v>
      </c>
      <c r="C3" s="19" t="s">
        <v>535</v>
      </c>
    </row>
    <row r="4" customFormat="false" ht="15" hidden="false" customHeight="false" outlineLevel="0" collapsed="false">
      <c r="A4" s="15" t="s">
        <v>536</v>
      </c>
      <c r="B4" s="21" t="n">
        <f aca="false">Plan!D43</f>
        <v>60</v>
      </c>
      <c r="C4" s="19"/>
    </row>
    <row r="5" customFormat="false" ht="15" hidden="false" customHeight="false" outlineLevel="0" collapsed="false">
      <c r="A5" s="15" t="s">
        <v>537</v>
      </c>
      <c r="B5" s="21" t="n">
        <f aca="false">B3-B4</f>
        <v>0</v>
      </c>
      <c r="C5" s="19"/>
    </row>
    <row r="6" customFormat="false" ht="15" hidden="false" customHeight="false" outlineLevel="0" collapsed="false">
      <c r="A6" s="15" t="s">
        <v>538</v>
      </c>
      <c r="B6" s="21" t="n">
        <f aca="false">SUMIFS(Plan!D5:D42,Plan!E5:E42,"Core")</f>
        <v>15</v>
      </c>
      <c r="C6" s="19" t="s">
        <v>539</v>
      </c>
    </row>
    <row r="7" customFormat="false" ht="15" hidden="false" customHeight="false" outlineLevel="0" collapsed="false">
      <c r="A7" s="15" t="s">
        <v>540</v>
      </c>
      <c r="B7" s="21" t="n">
        <f aca="false">SUMIFS(Plan!D5:D42,Plan!E5:E42,"Elective")</f>
        <v>45</v>
      </c>
      <c r="C7" s="19"/>
    </row>
    <row r="9" customFormat="false" ht="15" hidden="false" customHeight="false" outlineLevel="0" collapsed="false">
      <c r="A9" s="15" t="s">
        <v>541</v>
      </c>
    </row>
    <row r="10" customFormat="false" ht="25.5" hidden="false" customHeight="true" outlineLevel="0" collapsed="false">
      <c r="A10" s="22" t="s">
        <v>542</v>
      </c>
      <c r="B10" s="22"/>
      <c r="C10" s="22"/>
    </row>
    <row r="11" customFormat="false" ht="25.5" hidden="false" customHeight="true" outlineLevel="0" collapsed="false">
      <c r="A11" s="22" t="s">
        <v>543</v>
      </c>
      <c r="B11" s="22"/>
      <c r="C11" s="22"/>
    </row>
    <row r="12" customFormat="false" ht="25.5" hidden="false" customHeight="true" outlineLevel="0" collapsed="false">
      <c r="A12" s="22" t="s">
        <v>544</v>
      </c>
      <c r="B12" s="22"/>
      <c r="C12" s="22"/>
    </row>
    <row r="13" customFormat="false" ht="25.5" hidden="false" customHeight="true" outlineLevel="0" collapsed="false">
      <c r="A13" s="22" t="s">
        <v>545</v>
      </c>
      <c r="B13" s="22"/>
      <c r="C13" s="22"/>
    </row>
    <row r="14" customFormat="false" ht="25.5" hidden="false" customHeight="true" outlineLevel="0" collapsed="false">
      <c r="A14" s="22" t="s">
        <v>546</v>
      </c>
      <c r="B14" s="22"/>
      <c r="C14" s="22"/>
    </row>
    <row r="15" customFormat="false" ht="25.5" hidden="false" customHeight="true" outlineLevel="0" collapsed="false">
      <c r="A15" s="22" t="s">
        <v>547</v>
      </c>
      <c r="B15" s="22"/>
      <c r="C15" s="22"/>
    </row>
    <row r="16" customFormat="false" ht="25.5" hidden="false" customHeight="true" outlineLevel="0" collapsed="false">
      <c r="A16" s="22" t="s">
        <v>548</v>
      </c>
      <c r="B16" s="22"/>
      <c r="C16" s="22"/>
    </row>
  </sheetData>
  <mergeCells count="7">
    <mergeCell ref="A10:C10"/>
    <mergeCell ref="A11:C11"/>
    <mergeCell ref="A12:C12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2026-09-03T22:05:53Z</dcterms:created>
  <dc:creator>openpyxl</dc:creator>
  <dc:description/>
  <dc:language>en-US</dc:language>
  <cp:lastModifiedBy/>
  <dcterms:modified xsi:type="dcterms:W3CDTF">2026-09-03T22:05:53Z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