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K ME FIRST" sheetId="1" state="visible" r:id="rId3"/>
    <sheet name="A · Raw Data" sheetId="2" state="visible" r:id="rId4"/>
    <sheet name="B · One Normal Var" sheetId="3" state="visible" r:id="rId5"/>
    <sheet name="C · Outcomes &amp; Probs" sheetId="4" state="visible" r:id="rId6"/>
    <sheet name="D · Trees &amp; Bayes" sheetId="5" state="visible" r:id="rId7"/>
    <sheet name="E · TWO VARIABLES" sheetId="6" state="visible" r:id="rId8"/>
    <sheet name="F · Portfolio" sheetId="7" state="visible" r:id="rId9"/>
    <sheet name="G · Poolin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<sst xmlns="http://schemas.openxmlformats.org/spreadsheetml/2006/main" count="593" uniqueCount="504">
  <si>
    <t xml:space="preserve">START HERE  —  What does your exam question look like?</t>
  </si>
  <si>
    <t xml:space="preserve">Pick the sentence that matches your question in cell B5. Everything below fills in automatically.</t>
  </si>
  <si>
    <t xml:space="preserve">▼</t>
  </si>
  <si>
    <t xml:space="preserve">PICK THE SENTENCE THAT MATCHES YOUR QUESTION:</t>
  </si>
  <si>
    <t xml:space="preserve">TWO variables and a correlation — find E and stdev of the TOTAL</t>
  </si>
  <si>
    <t xml:space="preserve">◀ click the cell, then the arrow</t>
  </si>
  <si>
    <t xml:space="preserve">METHOD</t>
  </si>
  <si>
    <t xml:space="preserve">FORMULA</t>
  </si>
  <si>
    <t xml:space="preserve">STEPS</t>
  </si>
  <si>
    <t xml:space="preserve">GO TO</t>
  </si>
  <si>
    <t xml:space="preserve">WATCH OUT</t>
  </si>
  <si>
    <t xml:space="preserve">MATCHING EXAMPLE</t>
  </si>
  <si>
    <t xml:space="preserve">Can't find your question? Scroll to row 39 — the full list of every question type is there, with everything filled in.</t>
  </si>
  <si>
    <t xml:space="preserve">THE 6 THINGS THAT DECIDE EVERYTHING</t>
  </si>
  <si>
    <t xml:space="preserve">How many variables?</t>
  </si>
  <si>
    <t xml:space="preserve">ONE → sheet B.   TWO (with a correlation) → sheet E.</t>
  </si>
  <si>
    <t xml:space="preserve">Do I have raw numbers, or a mean &amp; stdev?</t>
  </si>
  <si>
    <t xml:space="preserve">Raw numbers → sheet A first, to GET the mean and stdev.</t>
  </si>
  <si>
    <t xml:space="preserve">Is it a list of outcomes with probabilities?</t>
  </si>
  <si>
    <t xml:space="preserve">Then it's sheet C — E(X)=Σx·P(x). No normal table needed.</t>
  </si>
  <si>
    <t xml:space="preserve">Does it say 'at least one', or describe stages?</t>
  </si>
  <si>
    <t xml:space="preserve">Tree → sheet D.</t>
  </si>
  <si>
    <t xml:space="preserve">Am I given a probability and asked for a VALUE?</t>
  </si>
  <si>
    <t xml:space="preserve">That's backwards → NORMINV, not NORMDIST.</t>
  </si>
  <si>
    <t xml:space="preserve">Does it mention weights, w, or a portfolio?</t>
  </si>
  <si>
    <t xml:space="preserve">Sheet F.</t>
  </si>
  <si>
    <t xml:space="preserve">IF YOU ARE STUCK AND THE CLOCK IS RUNNING</t>
  </si>
  <si>
    <t xml:space="preserve">Write down what you are GIVEN: how many variables, and is there a correlation?</t>
  </si>
  <si>
    <t xml:space="preserve">If there is a correlation in the question, it is almost certainly a SAXBY question (sheet E).</t>
  </si>
  <si>
    <t xml:space="preserve">If the question asks for a PROBABILITY, you need NORMDIST. If it asks for a VALUE or LEVEL, you need NORMINV.</t>
  </si>
  <si>
    <t xml:space="preserve">Compute E first — it is nearly always the easy half-mark.</t>
  </si>
  <si>
    <t xml:space="preserve">Write the formula in Canvas even if the number is wrong. The exam gives partial credit for the method.</t>
  </si>
  <si>
    <t xml:space="preserve">Every sheet has a 'COPY THIS INTO CANVAS' line — paste it to show your working.</t>
  </si>
  <si>
    <t xml:space="preserve">FULL LIST OF QUESTION TYPES (the picker above reads from this table)</t>
  </si>
  <si>
    <t xml:space="preserve">If your question sounds like this…</t>
  </si>
  <si>
    <t xml:space="preserve">Method</t>
  </si>
  <si>
    <t xml:space="preserve">Formula to write down</t>
  </si>
  <si>
    <t xml:space="preserve">Steps to follow</t>
  </si>
  <si>
    <t xml:space="preserve">Go to</t>
  </si>
  <si>
    <t xml:space="preserve">Watch out for</t>
  </si>
  <si>
    <t xml:space="preserve">Lecture example that matches</t>
  </si>
  <si>
    <t xml:space="preserve">Here is a list / column of numbers — describe it</t>
  </si>
  <si>
    <t xml:space="preserve">Descriptive statistics</t>
  </si>
  <si>
    <t xml:space="preserve">=AVERAGE() =MEDIAN() =STDEV() =SKEW() =KURT()</t>
  </si>
  <si>
    <t xml:space="preserve">1. Paste the numbers into column A of sheet A.
2. Read mean, median, stdev straight off.
3. Mean &gt; median means right skew.
4. Add 3 to KURT for the lecture's scale.</t>
  </si>
  <si>
    <t xml:space="preserve">Sheet  A · Raw Data</t>
  </si>
  <si>
    <t xml:space="preserve">STDEV (sample), not STDEVP. KURT is EXCESS — add 3.</t>
  </si>
  <si>
    <t xml:space="preserve">L1: 2,5,7,9,10 → mean 6.6, stdev 3.21</t>
  </si>
  <si>
    <t xml:space="preserve">What percentile am I? What % scored below / above me?</t>
  </si>
  <si>
    <t xml:space="preserve">Z-score, then the normal table</t>
  </si>
  <si>
    <t xml:space="preserve">z=(x−mean)/stdev  then  =NORMSDIST(z)</t>
  </si>
  <si>
    <t xml:space="preserve">1. Enter x, mean, stdev on sheet B.
2. Step 1 gives z.
3. Step 2 gives P(X&lt;x) = the percentile.
4. Above = 1 − that.</t>
  </si>
  <si>
    <t xml:space="preserve">Sheet  B · One Normal Variable</t>
  </si>
  <si>
    <t xml:space="preserve">NORMSDIST always gives the area to the LEFT.</t>
  </si>
  <si>
    <t xml:space="preserve">L1: 90 in N(75,10) → z=1.5 → 0.933 → 93rd pct</t>
  </si>
  <si>
    <t xml:space="preserve">Which of these TWO outcomes was more unusual / exceptional?</t>
  </si>
  <si>
    <t xml:space="preserve">Compare |z| — each against its OWN mean and stdev</t>
  </si>
  <si>
    <t xml:space="preserve">z=(x−mean)/stdev for each, compare absolute values</t>
  </si>
  <si>
    <t xml:space="preserve">1. Sheet B, section 'Compare two'.
2. Compute z for each separately.
3. The BIGGER |z| is more exceptional.
4. Ignore the raw values entirely.</t>
  </si>
  <si>
    <t xml:space="preserve">The bigger raw number is often the LESS unusual one.</t>
  </si>
  <si>
    <t xml:space="preserve">L1: Shanghai z=1.54 vs NYSE z=2.21 → NYSE wins</t>
  </si>
  <si>
    <t xml:space="preserve">What score do I need to be in the top X% ?</t>
  </si>
  <si>
    <t xml:space="preserve">Inverse normal</t>
  </si>
  <si>
    <t xml:space="preserve">=NORMINV(1 − X, mean, stdev)</t>
  </si>
  <si>
    <t xml:space="preserve">1. Sheet B, the REVERSE section.
2. Type the top fraction (0.10 for top 10%).
3. The sheet converts it to 0.90 for you.
4. Read the required score.</t>
  </si>
  <si>
    <t xml:space="preserve">Top 10% means P(X&lt;x)=0.90. Feed NORMINV 0.90, NOT 0.10.</t>
  </si>
  <si>
    <t xml:space="preserve">L5: top 10% of N(80,10) → 92.8</t>
  </si>
  <si>
    <t xml:space="preserve">How much can I LOSE with X% probability? (Value at Risk)</t>
  </si>
  <si>
    <t xml:space="preserve">Inverse normal, lower tail</t>
  </si>
  <si>
    <t xml:space="preserve">=NORMINV(X, mean, stdev)</t>
  </si>
  <si>
    <t xml:space="preserve">1. Sheet B, REVERSE section, 'bottom' box.
2. Type 0.05 for the worst 5%.
3. Read the cut-off — a negative number is a loss.</t>
  </si>
  <si>
    <t xml:space="preserve">Here you DO feed the small number (0.05) directly.</t>
  </si>
  <si>
    <t xml:space="preserve">L5: N(7,10), worst 5% → −9.45%</t>
  </si>
  <si>
    <t xml:space="preserve">P(X &lt; x)  /  P(X &gt; x)  /  P(a &lt; X &lt; b)  for one variable</t>
  </si>
  <si>
    <t xml:space="preserve">Normal probability</t>
  </si>
  <si>
    <t xml:space="preserve">=NORMDIST(x,mean,stdev,TRUE)</t>
  </si>
  <si>
    <t xml:space="preserve">1. Sheet B, FORWARD section.
2. Enter mean, stdev and the cut-off.
3. All three answers appear at once.</t>
  </si>
  <si>
    <t xml:space="preserve">'Greater than' = 1 − NORMDIST. 'Between' = big minus small.</t>
  </si>
  <si>
    <t xml:space="preserve">L5: N(80,10) → P(75&lt;X&lt;90)=0.5328</t>
  </si>
  <si>
    <t xml:space="preserve">A table of outcomes and their probabilities — find E(X) and stdev</t>
  </si>
  <si>
    <t xml:space="preserve">Discrete random variable</t>
  </si>
  <si>
    <t xml:space="preserve">E(X)=Σ x·P(x)   V(X)=Σ P(x)·(x−E)²</t>
  </si>
  <si>
    <t xml:space="preserve">1. Sheet C. Type outcomes in one column, probabilities next to them.
2. Check the probabilities sum to 1.
3. Read E(X), V(X), stdev — every row's contribution is shown.</t>
  </si>
  <si>
    <t xml:space="preserve">Sheet  C · Outcomes &amp; Probabilities</t>
  </si>
  <si>
    <t xml:space="preserve">Variance uses (x − E(X))², squared BEFORE weighting.</t>
  </si>
  <si>
    <t xml:space="preserve">L3: flats 0/1/2/3 → E=1.8, stdev=0.9797</t>
  </si>
  <si>
    <t xml:space="preserve">Profit / bonus / revenue = a + b × X  — find its E and stdev</t>
  </si>
  <si>
    <t xml:space="preserve">Linear transform</t>
  </si>
  <si>
    <t xml:space="preserve">E(a+bX)=a+b·E(X)   stdev=|b|·stdev(X)</t>
  </si>
  <si>
    <t xml:space="preserve">1. Do the outcome table first on sheet C.
2. Enter a and b in the transform box.
3. Read E(Y) and stdev(Y).</t>
  </si>
  <si>
    <t xml:space="preserve">'a' shifts the mean but NEVER changes the stdev.</t>
  </si>
  <si>
    <t xml:space="preserve">L3: Y=−50+200X → E=310, stdev=195.96</t>
  </si>
  <si>
    <t xml:space="preserve">A payoff that is NOT a straight line (tiered bonus, capped payout)</t>
  </si>
  <si>
    <t xml:space="preserve">Rebuild the table on the payoff</t>
  </si>
  <si>
    <t xml:space="preserve">E(g)=Σ g(x)·P(x)</t>
  </si>
  <si>
    <t xml:space="preserve">1. Sheet C has a second column for the payoff g(x).
2. Type the payoff for EACH outcome.
3. Read E(g) and stdev(g).</t>
  </si>
  <si>
    <t xml:space="preserve">You CANNOT use a+bX here. Rebuild from the outcomes.</t>
  </si>
  <si>
    <t xml:space="preserve">L5: bonus 0/15/52.5/82.5 → E=45, stdev=30.187</t>
  </si>
  <si>
    <t xml:space="preserve">Probability of AT LEAST ONE event over N years / trials</t>
  </si>
  <si>
    <t xml:space="preserve">Complement of 'never'</t>
  </si>
  <si>
    <t xml:space="preserve">P(at least one) = 1 − (1−p)^N</t>
  </si>
  <si>
    <t xml:space="preserve">1. Sheet D, top box.
2. Enter p (per period) and N.
3. Read 'at least one'.</t>
  </si>
  <si>
    <t xml:space="preserve">Sheet  D · Trees &amp; Bayes</t>
  </si>
  <si>
    <t xml:space="preserve">Compute 'never' first, then subtract from 1.</t>
  </si>
  <si>
    <t xml:space="preserve">L3: AAA p=.0002, 25yr → 0.004988</t>
  </si>
  <si>
    <t xml:space="preserve">The test came back positive — what's the chance it's REAL?</t>
  </si>
  <si>
    <t xml:space="preserve">Bayes / reverse probability</t>
  </si>
  <si>
    <t xml:space="preserve">P(A|+) = P(A)P(+|A) ÷ P(+)</t>
  </si>
  <si>
    <t xml:space="preserve">1. Sheet D, Bayes box.
2. Enter base rate, sensitivity, false-alarm rate.
3. The sheet shows both paths, then divides.</t>
  </si>
  <si>
    <t xml:space="preserve">For a RARE condition the answer is far lower than the accuracy.</t>
  </si>
  <si>
    <t xml:space="preserve">L3: HIV .006/.999/.01 → 0.376</t>
  </si>
  <si>
    <t xml:space="preserve">A multi-step process / a tree with several paths</t>
  </si>
  <si>
    <t xml:space="preserve">Multiply along, add across</t>
  </si>
  <si>
    <t xml:space="preserve">P(path)=p1×p2×…   then sum the paths</t>
  </si>
  <si>
    <t xml:space="preserve">1. Sheet D, path table.
2. One row per path, enter each step's probability.
3. Enter the outcome value for each path.
4. Read E and stdev.</t>
  </si>
  <si>
    <t xml:space="preserve">ALONG a path multiply (AND). BETWEEN paths add (OR).</t>
  </si>
  <si>
    <t xml:space="preserve">L5: $1 tree 1.1/0.9 twice → E=1.04, sd=0.141</t>
  </si>
  <si>
    <t xml:space="preserve">SAXBY, with a=1 and b=1</t>
  </si>
  <si>
    <t xml:space="preserve">V(aX+bY)=a²V(X)+b²V(Y)+2ab·sdX·sdY·Corr</t>
  </si>
  <si>
    <t xml:space="preserve">1. Sheet E. Set a=1, b=1.
2. Enter both means, both stdevs, the correlation.
3. The sheet shows all 5 steps of the variance.
4. Read E and stdev of the total.</t>
  </si>
  <si>
    <t xml:space="preserve">Sheet  E · TWO VARIABLES (SAXBY)</t>
  </si>
  <si>
    <t xml:space="preserve">stdev is NEVER just sdX+sdY. Square, add, then square-root.</t>
  </si>
  <si>
    <t xml:space="preserve">L5: N(100,10)+N(150,15), ρ=.8 → E=250, sd=23.77</t>
  </si>
  <si>
    <t xml:space="preserve">What is the chance X is BIGGER than Y?</t>
  </si>
  <si>
    <t xml:space="preserve">SAXBY with b = −1, then a normal probability</t>
  </si>
  <si>
    <t xml:space="preserve">P(X&gt;Y) = P(X−Y&gt;0)</t>
  </si>
  <si>
    <t xml:space="preserve">1. Sheet E. Set a=1 and b=−1.
2. Read E(X−Y) and stdev(X−Y).
3. Scroll to the probability box, set the cut-off to 0.
4. Read P(&gt; 0).</t>
  </si>
  <si>
    <t xml:space="preserve">With b=−1 the cross term SUBTRACTS. Then ask about ZERO.</t>
  </si>
  <si>
    <t xml:space="preserve">L5: walk-in vs phone → E=−50, sd=9.22, P≈0</t>
  </si>
  <si>
    <t xml:space="preserve">What stock / capacity level meets demand X% of the time?</t>
  </si>
  <si>
    <t xml:space="preserve">SAXBY for the total, then inverse normal</t>
  </si>
  <si>
    <t xml:space="preserve">=NORMINV(service level, total mean, total stdev)</t>
  </si>
  <si>
    <t xml:space="preserve">1. Sheet E. a=1, b=1 to combine the two demands.
2. Go to the SERVICE LEVEL box.
3. Enter 0.99 (or whatever %).
4. Take the ROUNDED UP number.</t>
  </si>
  <si>
    <t xml:space="preserve">Units must be whole — always round UP, never down.</t>
  </si>
  <si>
    <t xml:space="preserve">L5: 99% of N(250,23.77) → 305.3 → order 306</t>
  </si>
  <si>
    <t xml:space="preserve">Two scores combined with WEIGHTS (35% / 65%) — what percentile?</t>
  </si>
  <si>
    <t xml:space="preserve">SAXBY with the weights as a and b, then NORMDIST</t>
  </si>
  <si>
    <t xml:space="preserve">a=0.35, b=0.65</t>
  </si>
  <si>
    <t xml:space="preserve">1. Sheet E. Set a and b to the two weights.
2. Read the combined mean and stdev.
3. In the probability box enter the person's weighted score.
4. Read P(&lt; score) = the percentile.</t>
  </si>
  <si>
    <t xml:space="preserve">A LOWER correlation shrinks the stdev and RAISES the percentile.</t>
  </si>
  <si>
    <t xml:space="preserve">L5: Ann 121.6, ρ=1 → .9115; ρ=0.5 → .937</t>
  </si>
  <si>
    <t xml:space="preserve">Portfolio — I know the weights, what return and risk do I get?</t>
  </si>
  <si>
    <t xml:space="preserve">Portfolio formulas</t>
  </si>
  <si>
    <t xml:space="preserve">E(P)=wμx+(1−w)μy ; V(P) = SAXBY</t>
  </si>
  <si>
    <t xml:space="preserve">1. Sheet F. Enter both assets.
2. Type the weight w in section A.
3. Read E(P) and stdev(P).</t>
  </si>
  <si>
    <t xml:space="preserve">Sheet  F · Portfolio</t>
  </si>
  <si>
    <t xml:space="preserve">Keep returns and stdevs on the SAME scale (all % or all decimal).</t>
  </si>
  <si>
    <t xml:space="preserve">L4: w=0.4 on 10%/20% → E(P)=16%</t>
  </si>
  <si>
    <t xml:space="preserve">Portfolio — what weight hits a TARGET RETURN?</t>
  </si>
  <si>
    <t xml:space="preserve">Solve the return equation (linear)</t>
  </si>
  <si>
    <t xml:space="preserve">w = (target − μy) ÷ (μx − μy)</t>
  </si>
  <si>
    <t xml:space="preserve">1. Sheet F, section B.
2. Type the target return.
3. Read w, then the risk you must accept.</t>
  </si>
  <si>
    <t xml:space="preserve">If w falls outside 0–1 you would need to short sell.</t>
  </si>
  <si>
    <t xml:space="preserve">L4: target 15% on 10%/20% → w=0.5</t>
  </si>
  <si>
    <t xml:space="preserve">Portfolio — what weight hits a TARGET RISK?</t>
  </si>
  <si>
    <t xml:space="preserve">Solve the variance equation (quadratic)</t>
  </si>
  <si>
    <t xml:space="preserve">Aw² + Bw + C = 0</t>
  </si>
  <si>
    <t xml:space="preserve">1. Sheet F, section C.
2. Type the target stdev.
3. The sheet shows A, B, C and BOTH roots.
4. Use the root between 0 and 1.</t>
  </si>
  <si>
    <t xml:space="preserve">There are TWO answers. Pick the one inside [0,1].</t>
  </si>
  <si>
    <t xml:space="preserve">L4: target risk 20% → w=0.60</t>
  </si>
  <si>
    <t xml:space="preserve">Portfolio — what is the LOWEST possible risk?</t>
  </si>
  <si>
    <t xml:space="preserve">Minimum-variance portfolio</t>
  </si>
  <si>
    <t xml:space="preserve">w* = (σy²−ρσxσy) ÷ (σx²+σy²−2ρσxσy)</t>
  </si>
  <si>
    <t xml:space="preserve">1. Sheet F, section D.
2. Read w* and the minimum stdev.
3. Compare it to both assets to prove diversification.</t>
  </si>
  <si>
    <t xml:space="preserve">The minimum can be BELOW both assets — that is the whole point.</t>
  </si>
  <si>
    <t xml:space="preserve">L4: sd 3.16 &amp; 2.68, ρ=−.5 → w*=0.44, min 1.45</t>
  </si>
  <si>
    <t xml:space="preserve">Separate facilities vs ONE shared one (pooling GPUs, inventory, staff)</t>
  </si>
  <si>
    <t xml:space="preserve">Pooling — compare μ+kσ two ways</t>
  </si>
  <si>
    <t xml:space="preserve">Separate: Σ(μ+kσ). Pooled: Σμ + k·σ(X+Y)</t>
  </si>
  <si>
    <t xml:space="preserve">1. Sheet G. Enter both demands and the correlation.
2. Enter k (how many stdevs of cover).
3. Read separate total vs pooled total and the saving.</t>
  </si>
  <si>
    <t xml:space="preserve">Sheet  G · Pooling</t>
  </si>
  <si>
    <t xml:space="preserve">Pooling always needs LESS unless the correlation is exactly +1.</t>
  </si>
  <si>
    <t xml:space="preserve">L4: 2×50=100 separate vs 86.5 pooled</t>
  </si>
  <si>
    <t xml:space="preserve">Two columns of data — how related are they?</t>
  </si>
  <si>
    <t xml:space="preserve">Correlation</t>
  </si>
  <si>
    <t xml:space="preserve">=CORREL(Xrange, Yrange)</t>
  </si>
  <si>
    <t xml:space="preserve">1. Sheet A, the correlation block.
2. Paste X and Y side by side.
3. Read Corr, and the slope separately.</t>
  </si>
  <si>
    <t xml:space="preserve">Corr is NOT the slope, NOT causation, and 0 only rules out a LINE.</t>
  </si>
  <si>
    <t xml:space="preserve">L2: Corr 0.30 does NOT mean '30 cents per dollar'</t>
  </si>
  <si>
    <t xml:space="preserve">A  ·  I WAS GIVEN A LIST OF NUMBERS</t>
  </si>
  <si>
    <t xml:space="preserve">Paste your data into column H (and column I too, if the question is about correlation). Start at row 8.</t>
  </si>
  <si>
    <t xml:space="preserve">WHAT THE DATA SAYS</t>
  </si>
  <si>
    <t xml:space="preserve">How many numbers  (n)</t>
  </si>
  <si>
    <t xml:space="preserve">Mean  =AVERAGE()</t>
  </si>
  <si>
    <t xml:space="preserve">Median  =MEDIAN()</t>
  </si>
  <si>
    <t xml:space="preserve">X data</t>
  </si>
  <si>
    <t xml:space="preserve">Y data</t>
  </si>
  <si>
    <t xml:space="preserve">Sample stdev  =STDEV()</t>
  </si>
  <si>
    <t xml:space="preserve">Sample variance  =VAR()</t>
  </si>
  <si>
    <t xml:space="preserve">Min / Max</t>
  </si>
  <si>
    <t xml:space="preserve">Skewness  =SKEW()</t>
  </si>
  <si>
    <t xml:space="preserve">Kurtosis (Excel, excess)</t>
  </si>
  <si>
    <t xml:space="preserve">Kurtosis on the LECTURE scale</t>
  </si>
  <si>
    <t xml:space="preserve">WHAT THE SHAPE MEANS</t>
  </si>
  <si>
    <t xml:space="preserve">TAILS</t>
  </si>
  <si>
    <t xml:space="preserve">Excel's KURT is EXCESS kurtosis, so a Normal reads 0. The lectures use the scale where a Normal is 3. Row 13 does the +3 for you.</t>
  </si>
  <si>
    <t xml:space="preserve">Lecture check: 2,5,7,9,10 → mean 6.6, median 7, stdev 3.2094.</t>
  </si>
  <si>
    <t xml:space="preserve">IF THE QUESTION IS ABOUT TWO COLUMNS  (correlation)</t>
  </si>
  <si>
    <t xml:space="preserve">IF THEY ASK A TRUE/FALSE ABOUT CORRELATION</t>
  </si>
  <si>
    <t xml:space="preserve">Pairs of data</t>
  </si>
  <si>
    <t xml:space="preserve">both columns must be the same length</t>
  </si>
  <si>
    <t xml:space="preserve">A positive Corr means both tend to be above average together</t>
  </si>
  <si>
    <t xml:space="preserve">TRUE</t>
  </si>
  <si>
    <t xml:space="preserve">CORRELATION  =CORREL()</t>
  </si>
  <si>
    <t xml:space="preserve">between −1 and 1</t>
  </si>
  <si>
    <t xml:space="preserve">Corr = 0.30 means 30 cents per dollar</t>
  </si>
  <si>
    <t xml:space="preserve">FALSE — that is the SLOPE</t>
  </si>
  <si>
    <t xml:space="preserve">Covariance</t>
  </si>
  <si>
    <t xml:space="preserve">Corr × sdX × sdY</t>
  </si>
  <si>
    <t xml:space="preserve">Corr proves one causes the other</t>
  </si>
  <si>
    <t xml:space="preserve">FALSE — never</t>
  </si>
  <si>
    <t xml:space="preserve">Slope of the fitted line</t>
  </si>
  <si>
    <t xml:space="preserve">a DIFFERENT thing from Corr</t>
  </si>
  <si>
    <t xml:space="preserve">Corr = 0 means the two are unrelated</t>
  </si>
  <si>
    <t xml:space="preserve">FALSE — only no straight line</t>
  </si>
  <si>
    <t xml:space="preserve">R-squared</t>
  </si>
  <si>
    <t xml:space="preserve">= Corr squared</t>
  </si>
  <si>
    <t xml:space="preserve">Corr can be bigger than 1</t>
  </si>
  <si>
    <t xml:space="preserve">FALSE — always −1 to 1</t>
  </si>
  <si>
    <t xml:space="preserve">WHAT IT MEANS</t>
  </si>
  <si>
    <t xml:space="preserve">B  ·  ONE VARIABLE WITH A MEAN AND A STDEV</t>
  </si>
  <si>
    <t xml:space="preserve">Percentiles, probabilities, and 'what score do I need'. One variable only — if there are two, go to sheet E.</t>
  </si>
  <si>
    <t xml:space="preserve">THE VARIABLE</t>
  </si>
  <si>
    <t xml:space="preserve">Mean   (mu)</t>
  </si>
  <si>
    <t xml:space="preserve">pre-loaded with the Lecture 5 grades example</t>
  </si>
  <si>
    <t xml:space="preserve">WHICH Q-TYPE AM I?</t>
  </si>
  <si>
    <t xml:space="preserve">Stdev  (sigma)</t>
  </si>
  <si>
    <t xml:space="preserve">Question gives a VALUE, wants a PERCENT  →  type 1 or 2</t>
  </si>
  <si>
    <t xml:space="preserve">Question gives a PERCENT, wants a VALUE   →  type 3</t>
  </si>
  <si>
    <t xml:space="preserve">Q-TYPE 1  ·  'What % scored below / above me?'   'What percentile?'</t>
  </si>
  <si>
    <t xml:space="preserve">Question compares two things              →  type 4</t>
  </si>
  <si>
    <t xml:space="preserve">My value  x</t>
  </si>
  <si>
    <t xml:space="preserve">1</t>
  </si>
  <si>
    <t xml:space="preserve">z = (x − mean) ÷ stdev</t>
  </si>
  <si>
    <t xml:space="preserve">Rule of thumb:</t>
  </si>
  <si>
    <t xml:space="preserve">2</t>
  </si>
  <si>
    <t xml:space="preserve">P(below x)  = NORMSDIST(z)</t>
  </si>
  <si>
    <t xml:space="preserve">  NORMDIST  →  gives a probability</t>
  </si>
  <si>
    <t xml:space="preserve">3</t>
  </si>
  <si>
    <t xml:space="preserve">P(above x)  = 1 − step 2</t>
  </si>
  <si>
    <t xml:space="preserve">  NORMINV   →  gives a value</t>
  </si>
  <si>
    <t xml:space="preserve">ANSWER</t>
  </si>
  <si>
    <t xml:space="preserve">Lecture check: x=90 in N(75,10) gives z=1.5 and 0.9332. In N(80,10) it gives z=1.0 and 0.8413.</t>
  </si>
  <si>
    <t xml:space="preserve">Q-TYPE 2  ·  'P(X &lt; x)'  ·  'P(X &gt; x)'  ·  'P(a &lt; X &lt; b)'</t>
  </si>
  <si>
    <t xml:space="preserve">Lower bound  a</t>
  </si>
  <si>
    <t xml:space="preserve">Upper bound  b</t>
  </si>
  <si>
    <t xml:space="preserve">P(X &lt; a)</t>
  </si>
  <si>
    <t xml:space="preserve">P(X &lt; b)</t>
  </si>
  <si>
    <t xml:space="preserve">P(a &lt; X &lt; b) = step 2 − step 1</t>
  </si>
  <si>
    <t xml:space="preserve">NORMDIST always gives the area to the LEFT. For 'greater than' you must do 1 − NORMDIST.</t>
  </si>
  <si>
    <t xml:space="preserve">Q-TYPE 3  ·  BACKWARDS:  'What score do I need?'   'How much can I lose?'</t>
  </si>
  <si>
    <t xml:space="preserve">Use this when the question GIVES you a percentage and ASKS for a value.</t>
  </si>
  <si>
    <t xml:space="preserve">I want the TOP …</t>
  </si>
  <si>
    <t xml:space="preserve">0.10 = top 10%  (High Pass)</t>
  </si>
  <si>
    <t xml:space="preserve">so P(X &lt; x) must be 1 − that</t>
  </si>
  <si>
    <t xml:space="preserve">x = NORMINV(step 1, mean, stdev)</t>
  </si>
  <si>
    <t xml:space="preserve">Or I want the BOTTOM …</t>
  </si>
  <si>
    <t xml:space="preserve">0.05 = the worst 5%  (Value at Risk)</t>
  </si>
  <si>
    <t xml:space="preserve">x = NORMINV(that, mean, stdev)</t>
  </si>
  <si>
    <t xml:space="preserve">'Top 10%' means P(X&lt;x) = 0.90. Feed NORMINV 0.90, NOT 0.10. The sheet does this conversion for you in step 1.</t>
  </si>
  <si>
    <t xml:space="preserve">Lecture check: top 10% of N(80,10) = 92.8.   For the VaR example set mean=7, stdev=10 → bottom 5% = −9.45.</t>
  </si>
  <si>
    <t xml:space="preserve">Q-TYPE 4  ·  'Which of these TWO was more unusual?'</t>
  </si>
  <si>
    <t xml:space="preserve">Each value is judged against ITS OWN mean and stdev. The bigger |z| wins. Raw values are irrelevant.</t>
  </si>
  <si>
    <t xml:space="preserve">value x</t>
  </si>
  <si>
    <t xml:space="preserve">its mean</t>
  </si>
  <si>
    <t xml:space="preserve">its stdev</t>
  </si>
  <si>
    <t xml:space="preserve">z-score</t>
  </si>
  <si>
    <t xml:space="preserve">|z|</t>
  </si>
  <si>
    <t xml:space="preserve">Case A  (e.g. Shanghai)</t>
  </si>
  <si>
    <t xml:space="preserve">Case B  (e.g. NYSE)</t>
  </si>
  <si>
    <t xml:space="preserve">C  ·  A TABLE OF OUTCOMES AND PROBABILITIES</t>
  </si>
  <si>
    <t xml:space="preserve">Use this whenever the question lists what can happen and how likely each one is. No normal table involved.</t>
  </si>
  <si>
    <t xml:space="preserve">TYPE YOUR OUTCOMES AND PROBABILITIES IN THE GOLD COLUMNS</t>
  </si>
  <si>
    <t xml:space="preserve">OPTIONAL — a non-linear payoff (tiered bonus)</t>
  </si>
  <si>
    <t xml:space="preserve">THE WORKING</t>
  </si>
  <si>
    <t xml:space="preserve">Outcome  x</t>
  </si>
  <si>
    <t xml:space="preserve">P(X=x)</t>
  </si>
  <si>
    <t xml:space="preserve">x × P  →  E(X)</t>
  </si>
  <si>
    <t xml:space="preserve">P × (x−E)²  →  V(X)</t>
  </si>
  <si>
    <t xml:space="preserve">Payoff g(x)</t>
  </si>
  <si>
    <t xml:space="preserve">g × P</t>
  </si>
  <si>
    <t xml:space="preserve">Probabilities add to</t>
  </si>
  <si>
    <t xml:space="preserve">must be exactly 1</t>
  </si>
  <si>
    <t xml:space="preserve">E(X)  = sum of column D</t>
  </si>
  <si>
    <t xml:space="preserve">this is the mean</t>
  </si>
  <si>
    <t xml:space="preserve">V(X)  = sum of column E</t>
  </si>
  <si>
    <t xml:space="preserve">variance</t>
  </si>
  <si>
    <t xml:space="preserve">stdev = SQRT(V(X))</t>
  </si>
  <si>
    <t xml:space="preserve">the answer they usually want</t>
  </si>
  <si>
    <t xml:space="preserve">E(payoff)</t>
  </si>
  <si>
    <t xml:space="preserve">if you filled column G</t>
  </si>
  <si>
    <t xml:space="preserve">V(payoff)</t>
  </si>
  <si>
    <t xml:space="preserve">stdev(payoff)</t>
  </si>
  <si>
    <t xml:space="preserve">TOTAL</t>
  </si>
  <si>
    <t xml:space="preserve">IF THE QUESTION THEN SAYS  'profit = a + b × X'</t>
  </si>
  <si>
    <t xml:space="preserve">A straight-line payoff. You do NOT need to rebuild the table.</t>
  </si>
  <si>
    <t xml:space="preserve">a  (the fixed part)</t>
  </si>
  <si>
    <t xml:space="preserve">e.g. fixed monthly cost of 50</t>
  </si>
  <si>
    <t xml:space="preserve">b  (per unit)</t>
  </si>
  <si>
    <t xml:space="preserve">e.g. 200 profit per unit sold</t>
  </si>
  <si>
    <t xml:space="preserve">E(Y) = a + b × E(X)</t>
  </si>
  <si>
    <t xml:space="preserve">V(Y) = b² × V(X)</t>
  </si>
  <si>
    <t xml:space="preserve">stdev(Y) = |b| × stdev(X)</t>
  </si>
  <si>
    <t xml:space="preserve">If the payoff is NOT a straight line (a tiered bonus, a cap), you CANNOT use this. Use column G instead.</t>
  </si>
  <si>
    <t xml:space="preserve">Lecture check: flats 0/1/2/3 with P .1/.3/.3/.3 → E=1.8, stdev=0.9797. Y=−50+200X → E=310, stdev=195.96. Bonus column → E=45, stdev=30.187.</t>
  </si>
  <si>
    <t xml:space="preserve">D  ·  MULTI-STEP PROCESSES, 'AT LEAST ONE', AND REVERSE PROBABILITY</t>
  </si>
  <si>
    <t xml:space="preserve">Along a path MULTIPLY (AND).  Between paths ADD (OR).</t>
  </si>
  <si>
    <t xml:space="preserve">CASE 1  ·  'What is the chance it happens AT LEAST ONCE in N periods?'</t>
  </si>
  <si>
    <t xml:space="preserve">CASE 3  ·  A TREE WITH SEVERAL PATHS</t>
  </si>
  <si>
    <t xml:space="preserve">Never compute this directly. Compute 'it never happens', then subtract from 1.</t>
  </si>
  <si>
    <t xml:space="preserve">One row per path. Enter each step's probability — they get multiplied. Leave unused steps blank.</t>
  </si>
  <si>
    <t xml:space="preserve">p  = chance per period</t>
  </si>
  <si>
    <t xml:space="preserve">e.g. an AAA bond's annual default probability</t>
  </si>
  <si>
    <t xml:space="preserve">Path</t>
  </si>
  <si>
    <t xml:space="preserve">Step 1</t>
  </si>
  <si>
    <t xml:space="preserve">Step 2</t>
  </si>
  <si>
    <t xml:space="preserve">Step 3</t>
  </si>
  <si>
    <t xml:space="preserve">P(path)</t>
  </si>
  <si>
    <t xml:space="preserve">Value</t>
  </si>
  <si>
    <t xml:space="preserve">Value × P</t>
  </si>
  <si>
    <t xml:space="preserve">P×(v−E)²</t>
  </si>
  <si>
    <t xml:space="preserve">N  = number of periods</t>
  </si>
  <si>
    <t xml:space="preserve">years / trials</t>
  </si>
  <si>
    <t xml:space="preserve">Up,Up</t>
  </si>
  <si>
    <t xml:space="preserve">P(it NEVER happens) = (1−p)^N</t>
  </si>
  <si>
    <t xml:space="preserve">Up,Dn</t>
  </si>
  <si>
    <t xml:space="preserve">P(AT LEAST ONE) = 1 − step 1</t>
  </si>
  <si>
    <t xml:space="preserve">Dn,Up</t>
  </si>
  <si>
    <t xml:space="preserve">Dn,Dn</t>
  </si>
  <si>
    <t xml:space="preserve">Lecture check: p=0.0002 over 25 years → 0.004988.</t>
  </si>
  <si>
    <t xml:space="preserve">CASE 2  ·  'The test says POSITIVE — what is the chance it is real?'</t>
  </si>
  <si>
    <t xml:space="preserve">The classic trap: a very accurate test for a RARE thing still produces mostly false alarms.</t>
  </si>
  <si>
    <t xml:space="preserve">P(the condition)  — base rate</t>
  </si>
  <si>
    <t xml:space="preserve">how common it is in the population</t>
  </si>
  <si>
    <t xml:space="preserve">P(test + | condition present)</t>
  </si>
  <si>
    <t xml:space="preserve">the test's true-positive rate</t>
  </si>
  <si>
    <t xml:space="preserve">P(test + | condition ABSENT)</t>
  </si>
  <si>
    <t xml:space="preserve">the false-alarm rate</t>
  </si>
  <si>
    <t xml:space="preserve">REAL positives  = P(cond) × P(+|cond)</t>
  </si>
  <si>
    <t xml:space="preserve">FALSE alarms = (1−P(cond)) × P(+|no cond)</t>
  </si>
  <si>
    <t xml:space="preserve">All positives = step 1 + step 2</t>
  </si>
  <si>
    <t xml:space="preserve">4</t>
  </si>
  <si>
    <t xml:space="preserve">P(real | positive) = step 1 ÷ step 3</t>
  </si>
  <si>
    <t xml:space="preserve">E(X) over all paths</t>
  </si>
  <si>
    <t xml:space="preserve">Lecture check: 0.006 / 0.999 / 0.01 → 0.376, i.e. about 38%.</t>
  </si>
  <si>
    <t xml:space="preserve">V(X)</t>
  </si>
  <si>
    <t xml:space="preserve">stdev</t>
  </si>
  <si>
    <t xml:space="preserve">Lecture check: $1 growing 1.1 or 0.9 over two steps → E = 1.04, stdev = 0.141.</t>
  </si>
  <si>
    <t xml:space="preserve">E  ·  TWO VARIABLES AND A CORRELATION   (the SAXBY question)</t>
  </si>
  <si>
    <t xml:space="preserve">If the question mentions a correlation between two things, you are here. Fill the 7 gold cells; the working writes itself.</t>
  </si>
  <si>
    <t xml:space="preserve">1. WHAT ARE THE TWO VARIABLES?  (fill these 7 cells)</t>
  </si>
  <si>
    <t xml:space="preserve">HOW DO I SET a AND b?</t>
  </si>
  <si>
    <t xml:space="preserve">a  —  multiplier on X</t>
  </si>
  <si>
    <t xml:space="preserve">see the guide on the right →</t>
  </si>
  <si>
    <t xml:space="preserve">The question asks about…</t>
  </si>
  <si>
    <t xml:space="preserve">a</t>
  </si>
  <si>
    <t xml:space="preserve">b</t>
  </si>
  <si>
    <t xml:space="preserve">b  —  multiplier on Y</t>
  </si>
  <si>
    <t xml:space="preserve">the TOTAL  (X + Y)</t>
  </si>
  <si>
    <t xml:space="preserve">Mean of X      E(X)</t>
  </si>
  <si>
    <t xml:space="preserve">the DIFFERENCE, or P(X &gt; Y)</t>
  </si>
  <si>
    <t xml:space="preserve">−1</t>
  </si>
  <si>
    <t xml:space="preserve">Stdev of X     sd(X)</t>
  </si>
  <si>
    <t xml:space="preserve">a weighted score, 35% and 65%</t>
  </si>
  <si>
    <t xml:space="preserve">0.35</t>
  </si>
  <si>
    <t xml:space="preserve">0.65</t>
  </si>
  <si>
    <t xml:space="preserve">Mean of Y      E(Y)</t>
  </si>
  <si>
    <t xml:space="preserve">a portfolio, w in X</t>
  </si>
  <si>
    <t xml:space="preserve">w</t>
  </si>
  <si>
    <t xml:space="preserve">1−w</t>
  </si>
  <si>
    <t xml:space="preserve">Stdev of Y    sd(Y)</t>
  </si>
  <si>
    <t xml:space="preserve">just X on its own</t>
  </si>
  <si>
    <t xml:space="preserve">0</t>
  </si>
  <si>
    <t xml:space="preserve">Correlation between them</t>
  </si>
  <si>
    <t xml:space="preserve">If b is negative the cross term SUBTRACTS — that is why differences are less volatile.</t>
  </si>
  <si>
    <t xml:space="preserve">2. THE WORKING  —  copy these lines into Canvas for partial credit</t>
  </si>
  <si>
    <t xml:space="preserve">V(X) = sd(X)²</t>
  </si>
  <si>
    <t xml:space="preserve">V(Y) = sd(Y)²</t>
  </si>
  <si>
    <t xml:space="preserve">a² · V(X)</t>
  </si>
  <si>
    <t xml:space="preserve">b² · V(Y)</t>
  </si>
  <si>
    <t xml:space="preserve">5</t>
  </si>
  <si>
    <t xml:space="preserve">cross term = 2·a·b·sd(X)·sd(Y)·Corr</t>
  </si>
  <si>
    <t xml:space="preserve">6</t>
  </si>
  <si>
    <t xml:space="preserve">V(aX+bY) = step3 + step4 + step5</t>
  </si>
  <si>
    <t xml:space="preserve">7</t>
  </si>
  <si>
    <t xml:space="preserve">stdev = √(step 6)</t>
  </si>
  <si>
    <t xml:space="preserve">8</t>
  </si>
  <si>
    <t xml:space="preserve">E(aX+bY) = a·E(X) + b·E(Y)</t>
  </si>
  <si>
    <t xml:space="preserve">COPY THIS</t>
  </si>
  <si>
    <t xml:space="preserve">NEVER write stdev = a·sd(X) + b·sd(Y). Square, add, then square-root. That gap is diversification.</t>
  </si>
  <si>
    <t xml:space="preserve">3. NOW A PROBABILITY ABOUT THAT COMBINATION  (only if the question asks for one)</t>
  </si>
  <si>
    <t xml:space="preserve">WORKED EXAMPLE — Lecture 5, Ex 3</t>
  </si>
  <si>
    <t xml:space="preserve">You now have a mean (step 8) and a stdev (step 7). Treat the combination as ONE normal variable.</t>
  </si>
  <si>
    <t xml:space="preserve">A shop has walk-in demand X ~ N(100, 10²)</t>
  </si>
  <si>
    <t xml:space="preserve">Cut-off value  x</t>
  </si>
  <si>
    <t xml:space="preserve">for P(X&gt;Y) put 0 here, with a=1 and b=−1</t>
  </si>
  <si>
    <t xml:space="preserve">and phone demand Y ~ N(150, 15²), Corr = 0.8.</t>
  </si>
  <si>
    <t xml:space="preserve">9</t>
  </si>
  <si>
    <t xml:space="preserve">10</t>
  </si>
  <si>
    <t xml:space="preserve">P(combination &lt; x)</t>
  </si>
  <si>
    <t xml:space="preserve">(a) How is TOTAL demand distributed?</t>
  </si>
  <si>
    <t xml:space="preserve">11</t>
  </si>
  <si>
    <t xml:space="preserve">P(combination &gt; x)  = 1 − step 10</t>
  </si>
  <si>
    <t xml:space="preserve">    a=1, b=1  →  E=250, stdev=23.77</t>
  </si>
  <si>
    <t xml:space="preserve">only for 'between' questions</t>
  </si>
  <si>
    <t xml:space="preserve">(b) Stock level to satisfy 99% of days?</t>
  </si>
  <si>
    <t xml:space="preserve">12</t>
  </si>
  <si>
    <t xml:space="preserve">P(a &lt; combination &lt; b)</t>
  </si>
  <si>
    <t xml:space="preserve">    NORMINV(.99, 250, 23.77) = 305.3  →  306</t>
  </si>
  <si>
    <t xml:space="preserve">P(X &gt; Y)</t>
  </si>
  <si>
    <t xml:space="preserve">(c) Chance walk-ins exceed phone orders?</t>
  </si>
  <si>
    <t xml:space="preserve">    a=1, b=−1  →  E=−50, stdev=9.22</t>
  </si>
  <si>
    <t xml:space="preserve">4. SERVICE LEVEL  /  STOCK LEVEL  (only if it asks 'how much do I need?')</t>
  </si>
  <si>
    <t xml:space="preserve">    P(X−Y &gt; 0) ≈ 0</t>
  </si>
  <si>
    <t xml:space="preserve">Service level required</t>
  </si>
  <si>
    <t xml:space="preserve">0.99 = meet demand 99% of the time</t>
  </si>
  <si>
    <t xml:space="preserve">13</t>
  </si>
  <si>
    <t xml:space="preserve">Level needed (exact)</t>
  </si>
  <si>
    <t xml:space="preserve">The numbers above are already loaded.</t>
  </si>
  <si>
    <t xml:space="preserve">14</t>
  </si>
  <si>
    <t xml:space="preserve">ROUNDED UP to a whole unit</t>
  </si>
  <si>
    <t xml:space="preserve">Change a to −1 in cell B6 to see part (c).</t>
  </si>
  <si>
    <t xml:space="preserve">F  ·  PORTFOLIO  —  splitting money between two assets</t>
  </si>
  <si>
    <t xml:space="preserve">P = w in asset X and (1−w) in asset Y. Enter both assets once at the top, then jump to the section that matches the question.</t>
  </si>
  <si>
    <t xml:space="preserve">THE TWO ASSETS  (enter once)</t>
  </si>
  <si>
    <t xml:space="preserve">Use decimals (0.15 for 15%) OR plain numbers (15) — but be consistent between returns and stdevs.</t>
  </si>
  <si>
    <t xml:space="preserve">Expected return of X</t>
  </si>
  <si>
    <t xml:space="preserve">Stdev of X</t>
  </si>
  <si>
    <t xml:space="preserve">Expected return of Y</t>
  </si>
  <si>
    <t xml:space="preserve">Stdev of Y</t>
  </si>
  <si>
    <t xml:space="preserve">Correlation between X and Y</t>
  </si>
  <si>
    <t xml:space="preserve">SECTION A  ·  'I know the weights — what do I get?'</t>
  </si>
  <si>
    <t xml:space="preserve">THE FOUR THINGS THEY ASK</t>
  </si>
  <si>
    <t xml:space="preserve">w  = fraction in X</t>
  </si>
  <si>
    <t xml:space="preserve">the rest, 1−w, goes into Y</t>
  </si>
  <si>
    <t xml:space="preserve">"If I invest 40% in X…"  → section A</t>
  </si>
  <si>
    <t xml:space="preserve">E(P) = w·E(X) + (1−w)·E(Y)</t>
  </si>
  <si>
    <t xml:space="preserve">"To achieve a 15% return…" → section B</t>
  </si>
  <si>
    <t xml:space="preserve">V(P) = w²V(X)+(1−w)²V(Y)+2w(1−w)sdX·sdY·Corr</t>
  </si>
  <si>
    <t xml:space="preserve">"To keep risk at 20%…"    → section C</t>
  </si>
  <si>
    <t xml:space="preserve">stdev(P) = √(step 2)</t>
  </si>
  <si>
    <t xml:space="preserve">"What is the safest mix?"  → section D</t>
  </si>
  <si>
    <t xml:space="preserve">CAN THE PORTFOLIO…</t>
  </si>
  <si>
    <t xml:space="preserve">  beat the better asset's return?  NO</t>
  </si>
  <si>
    <t xml:space="preserve">SECTION B  ·  'I want a TARGET RETURN — what weight?'</t>
  </si>
  <si>
    <t xml:space="preserve">  drop below the worse return?    NO</t>
  </si>
  <si>
    <t xml:space="preserve">Return is a straight weighted average, so this is simple algebra — one answer.</t>
  </si>
  <si>
    <t xml:space="preserve">  have LOWER risk than both?     YES</t>
  </si>
  <si>
    <t xml:space="preserve">Target expected return</t>
  </si>
  <si>
    <t xml:space="preserve">w = (target − E(Y)) ÷ (E(X) − E(Y))</t>
  </si>
  <si>
    <t xml:space="preserve">Corr +1 → no benefit at all.</t>
  </si>
  <si>
    <t xml:space="preserve">so 1−w goes into Y</t>
  </si>
  <si>
    <t xml:space="preserve">Corr −1 → risk can reach zero.</t>
  </si>
  <si>
    <t xml:space="preserve">the risk you must accept</t>
  </si>
  <si>
    <t xml:space="preserve">Lower Corr bends the curve further left.</t>
  </si>
  <si>
    <t xml:space="preserve">Lecture check: target 15% between a 10% and a 20% asset → w = 0.5, a 50/50 split.</t>
  </si>
  <si>
    <t xml:space="preserve">SECTION C  ·  'I want a TARGET RISK — what weight?'</t>
  </si>
  <si>
    <t xml:space="preserve">Risk is quadratic in w, so there are TWO answers. Use the one that lands between 0 and 1.</t>
  </si>
  <si>
    <t xml:space="preserve">Target stdev</t>
  </si>
  <si>
    <t xml:space="preserve">A = sdX² + sdY² − 2·Corr·sdX·sdY</t>
  </si>
  <si>
    <t xml:space="preserve">B = 2·Corr·sdX·sdY − 2·sdY²</t>
  </si>
  <si>
    <t xml:space="preserve">C = sdY² − target²</t>
  </si>
  <si>
    <t xml:space="preserve">discriminant = B² − 4AC</t>
  </si>
  <si>
    <t xml:space="preserve">first root  w = (−B + √disc) ÷ 2A</t>
  </si>
  <si>
    <t xml:space="preserve">second root w = (−B − √disc) ÷ 2A</t>
  </si>
  <si>
    <t xml:space="preserve">Lecture check: target risk 20% with sd 15% and 35%, Corr 0.5 → w = 0.60.</t>
  </si>
  <si>
    <t xml:space="preserve">SECTION D  ·  'What is the LOWEST risk I can get?'</t>
  </si>
  <si>
    <t xml:space="preserve">w* = (sdY²−Corr·sdX·sdY) ÷ (sdX²+sdY²−2·Corr·sdX·sdY)</t>
  </si>
  <si>
    <t xml:space="preserve">the minimum stdev achievable</t>
  </si>
  <si>
    <t xml:space="preserve">the return you get there</t>
  </si>
  <si>
    <t xml:space="preserve">w* forced inside 0–1 (no short selling)</t>
  </si>
  <si>
    <t xml:space="preserve">stdev at that long-only weight</t>
  </si>
  <si>
    <t xml:space="preserve">If w* lands outside 0–1, the true minimum needs short selling. Unless the question allows it, answer with the boundary weight (0 or 1).</t>
  </si>
  <si>
    <t xml:space="preserve">Lecture check: the real-estate pair (stdev 3.16 and 2.68, Corr −0.5) gives w* = 0.44 and a minimum stdev of 1.45 — below both assets.</t>
  </si>
  <si>
    <t xml:space="preserve">G  ·  SEPARATE FACILITIES vs ONE SHARED ONE</t>
  </si>
  <si>
    <t xml:space="preserve">GPUs, warehouses, call-centre staff. Pooling always needs less capacity unless the two demands are perfectly correlated.</t>
  </si>
  <si>
    <t xml:space="preserve">THE TWO DEMANDS</t>
  </si>
  <si>
    <t xml:space="preserve">Mean demand of A</t>
  </si>
  <si>
    <t xml:space="preserve">Stdev of A</t>
  </si>
  <si>
    <t xml:space="preserve">Mean demand of B</t>
  </si>
  <si>
    <t xml:space="preserve">Stdev of B</t>
  </si>
  <si>
    <t xml:space="preserve">k = stdevs of cover required</t>
  </si>
  <si>
    <t xml:space="preserve">'must cover 3 stdevs above the mean'</t>
  </si>
  <si>
    <t xml:space="preserve">OPTION 1 — each builds its own</t>
  </si>
  <si>
    <t xml:space="preserve">A needs  mean + k×stdev</t>
  </si>
  <si>
    <t xml:space="preserve">B needs  mean + k×stdev</t>
  </si>
  <si>
    <t xml:space="preserve">TOTAL if separate</t>
  </si>
  <si>
    <t xml:space="preserve">OPTION 2 — one shared facility</t>
  </si>
  <si>
    <t xml:space="preserve">pooled mean = both means added</t>
  </si>
  <si>
    <t xml:space="preserve">pooled variance (SAXBY, a=b=1)</t>
  </si>
  <si>
    <t xml:space="preserve">pooled stdev = √(step 5)</t>
  </si>
  <si>
    <t xml:space="preserve">TOTAL if pooled = step 4 + k × step 6</t>
  </si>
  <si>
    <t xml:space="preserve">THE SAVING</t>
  </si>
  <si>
    <t xml:space="preserve">units saved</t>
  </si>
  <si>
    <t xml:space="preserve">percent saved</t>
  </si>
  <si>
    <t xml:space="preserve">WHY</t>
  </si>
  <si>
    <t xml:space="preserve">Lecture check: mean 20 and stdev 10 each, Corr 0.2, k=3 → 50 each (100 total) separate, versus 86.5 pooled.</t>
  </si>
  <si>
    <t xml:space="preserve">IF THE QUESTION GIVES A PERCENTAGE INSTEAD OF k</t>
  </si>
  <si>
    <t xml:space="preserve">Service level</t>
  </si>
  <si>
    <t xml:space="preserve">e.g. 'meet demand 95% of the time'</t>
  </si>
  <si>
    <t xml:space="preserve">implied k = NORMSINV(service level)</t>
  </si>
  <si>
    <t xml:space="preserve">separate total</t>
  </si>
  <si>
    <t xml:space="preserve">pooled total</t>
  </si>
  <si>
    <t xml:space="preserve">pooled, rounded UP</t>
  </si>
</sst>
</file>

<file path=xl/styles.xml><?xml version="1.0" encoding="utf-8"?>
<styleSheet xmlns="http://schemas.openxmlformats.org/spreadsheetml/2006/main">
  <numFmts count="5">
    <numFmt numFmtId="164" formatCode="General"/>
    <numFmt numFmtId="165" formatCode="0"/>
    <numFmt numFmtId="166" formatCode="0.0000"/>
    <numFmt numFmtId="167" formatCode="0.000000"/>
    <numFmt numFmtId="168" formatCode="0.0%"/>
  </numFmts>
  <fonts count="27">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FFFFFF"/>
      <name val="Arial"/>
      <family val="0"/>
      <charset val="1"/>
    </font>
    <font>
      <b val="true"/>
      <sz val="14"/>
      <color rgb="FFC00000"/>
      <name val="Arial"/>
      <family val="0"/>
      <charset val="1"/>
    </font>
    <font>
      <b val="true"/>
      <sz val="10"/>
      <color rgb="FF1F3864"/>
      <name val="Arial"/>
      <family val="0"/>
      <charset val="1"/>
    </font>
    <font>
      <b val="true"/>
      <sz val="11"/>
      <color rgb="FF0000FF"/>
      <name val="Arial"/>
      <family val="0"/>
      <charset val="1"/>
    </font>
    <font>
      <i val="true"/>
      <sz val="9"/>
      <color rgb="FF666666"/>
      <name val="Arial"/>
      <family val="0"/>
      <charset val="1"/>
    </font>
    <font>
      <b val="true"/>
      <sz val="9"/>
      <color rgb="FF1F3864"/>
      <name val="Arial"/>
      <family val="0"/>
      <charset val="1"/>
    </font>
    <font>
      <b val="true"/>
      <sz val="12"/>
      <color rgb="FFFFFFFF"/>
      <name val="Arial"/>
      <family val="0"/>
      <charset val="1"/>
    </font>
    <font>
      <b val="true"/>
      <sz val="11"/>
      <color rgb="FF1F3864"/>
      <name val="Arial"/>
      <family val="0"/>
      <charset val="1"/>
    </font>
    <font>
      <sz val="10"/>
      <name val="Arial"/>
      <family val="0"/>
      <charset val="1"/>
    </font>
    <font>
      <b val="true"/>
      <sz val="11"/>
      <color rgb="FF006100"/>
      <name val="Arial"/>
      <family val="0"/>
      <charset val="1"/>
    </font>
    <font>
      <b val="true"/>
      <sz val="10"/>
      <color rgb="FFC00000"/>
      <name val="Arial"/>
      <family val="0"/>
      <charset val="1"/>
    </font>
    <font>
      <i val="true"/>
      <sz val="10"/>
      <name val="Arial"/>
      <family val="0"/>
      <charset val="1"/>
    </font>
    <font>
      <b val="true"/>
      <sz val="11"/>
      <color rgb="FFFFFFFF"/>
      <name val="Arial"/>
      <family val="0"/>
      <charset val="1"/>
    </font>
    <font>
      <b val="true"/>
      <sz val="10"/>
      <name val="Arial"/>
      <family val="0"/>
      <charset val="1"/>
    </font>
    <font>
      <sz val="9"/>
      <name val="Arial"/>
      <family val="0"/>
      <charset val="1"/>
    </font>
    <font>
      <b val="true"/>
      <sz val="11"/>
      <name val="Arial"/>
      <family val="0"/>
      <charset val="1"/>
    </font>
    <font>
      <b val="true"/>
      <sz val="10"/>
      <color rgb="FF006100"/>
      <name val="Arial"/>
      <family val="0"/>
      <charset val="1"/>
    </font>
    <font>
      <b val="true"/>
      <sz val="9"/>
      <color rgb="FFC00000"/>
      <name val="Arial"/>
      <family val="0"/>
      <charset val="1"/>
    </font>
    <font>
      <b val="true"/>
      <sz val="9"/>
      <color rgb="FF006100"/>
      <name val="Arial"/>
      <family val="0"/>
      <charset val="1"/>
    </font>
    <font>
      <b val="true"/>
      <sz val="10"/>
      <color rgb="FF2E5C8A"/>
      <name val="Arial"/>
      <family val="0"/>
      <charset val="1"/>
    </font>
    <font>
      <b val="true"/>
      <sz val="9"/>
      <name val="Arial"/>
      <family val="0"/>
      <charset val="1"/>
    </font>
    <font>
      <sz val="9"/>
      <name val="Consolas"/>
      <family val="0"/>
      <charset val="1"/>
    </font>
  </fonts>
  <fills count="10">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2E5C8A"/>
        <bgColor rgb="FF1F3864"/>
      </patternFill>
    </fill>
    <fill>
      <patternFill patternType="solid">
        <fgColor rgb="FFF2F2F2"/>
        <bgColor rgb="FFEAF1F8"/>
      </patternFill>
    </fill>
    <fill>
      <patternFill patternType="solid">
        <fgColor rgb="FFEAF1F8"/>
        <bgColor rgb="FFF2F2F2"/>
      </patternFill>
    </fill>
    <fill>
      <patternFill patternType="solid">
        <fgColor rgb="FFD9EAD3"/>
        <bgColor rgb="FFEAF1F8"/>
      </patternFill>
    </fill>
    <fill>
      <patternFill patternType="solid">
        <fgColor rgb="FFFCE4EC"/>
        <bgColor rgb="FFF2F2F2"/>
      </patternFill>
    </fill>
    <fill>
      <patternFill patternType="solid">
        <fgColor rgb="FFFFFFFF"/>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2"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top" textRotation="0" wrapText="false" indent="0" shrinkToFit="false"/>
      <protection locked="true" hidden="false"/>
    </xf>
    <xf numFmtId="164" fontId="11" fillId="4" borderId="1" xfId="0" applyFont="true" applyBorder="true" applyAlignment="true" applyProtection="false">
      <alignment horizontal="left" vertical="center" textRotation="0" wrapText="true" indent="1" shrinkToFit="false"/>
      <protection locked="true" hidden="false"/>
    </xf>
    <xf numFmtId="164" fontId="12" fillId="5" borderId="1" xfId="0" applyFont="true" applyBorder="true" applyAlignment="true" applyProtection="false">
      <alignment horizontal="left" vertical="center" textRotation="0" wrapText="true" indent="1" shrinkToFit="false"/>
      <protection locked="true" hidden="false"/>
    </xf>
    <xf numFmtId="164" fontId="13" fillId="6" borderId="1" xfId="0" applyFont="true" applyBorder="true" applyAlignment="true" applyProtection="false">
      <alignment horizontal="left" vertical="center" textRotation="0" wrapText="true" indent="1" shrinkToFit="false"/>
      <protection locked="true" hidden="false"/>
    </xf>
    <xf numFmtId="164" fontId="14" fillId="7" borderId="1" xfId="0" applyFont="true" applyBorder="true" applyAlignment="true" applyProtection="false">
      <alignment horizontal="left" vertical="center" textRotation="0" wrapText="true" indent="1" shrinkToFit="false"/>
      <protection locked="true" hidden="false"/>
    </xf>
    <xf numFmtId="164" fontId="15" fillId="8" borderId="1" xfId="0" applyFont="true" applyBorder="true" applyAlignment="true" applyProtection="false">
      <alignment horizontal="left" vertical="center" textRotation="0" wrapText="true" indent="1" shrinkToFit="false"/>
      <protection locked="true" hidden="false"/>
    </xf>
    <xf numFmtId="164" fontId="16" fillId="5" borderId="1" xfId="0" applyFont="true" applyBorder="true" applyAlignment="true" applyProtection="false">
      <alignment horizontal="left" vertical="center" textRotation="0" wrapText="true" indent="1"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7" fillId="4" borderId="0" xfId="0" applyFont="true" applyBorder="true" applyAlignment="true" applyProtection="false">
      <alignment horizontal="general" vertical="center" textRotation="0" wrapText="false" indent="1"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1"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20" fillId="6" borderId="1" xfId="0" applyFont="true" applyBorder="true" applyAlignment="true" applyProtection="false">
      <alignment horizontal="center" vertical="bottom" textRotation="0" wrapText="false" indent="0" shrinkToFit="false"/>
      <protection locked="true" hidden="false"/>
    </xf>
    <xf numFmtId="166" fontId="20" fillId="6"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6" fontId="8" fillId="3" borderId="1" xfId="0" applyFont="true" applyBorder="true" applyAlignment="true" applyProtection="false">
      <alignment horizontal="center"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8" borderId="1" xfId="0" applyFont="true" applyBorder="true" applyAlignment="true" applyProtection="false">
      <alignment horizontal="left" vertical="center" textRotation="0" wrapText="true" indent="1"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general" vertical="bottom" textRotation="0" wrapText="false" indent="1" shrinkToFit="false"/>
      <protection locked="true" hidden="false"/>
    </xf>
    <xf numFmtId="167" fontId="20" fillId="6" borderId="1"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general" vertical="bottom" textRotation="0" wrapText="false" indent="1" shrinkToFit="false"/>
      <protection locked="true" hidden="false"/>
    </xf>
    <xf numFmtId="164" fontId="19" fillId="0" borderId="0" xfId="0" applyFont="true" applyBorder="true" applyAlignment="true" applyProtection="false">
      <alignment horizontal="general" vertical="bottom" textRotation="0" wrapText="false" indent="1" shrinkToFit="false"/>
      <protection locked="true" hidden="false"/>
    </xf>
    <xf numFmtId="164" fontId="24" fillId="6" borderId="1" xfId="0" applyFont="true" applyBorder="true" applyAlignment="true" applyProtection="false">
      <alignment horizontal="center" vertical="bottom" textRotation="0" wrapText="false" indent="0" shrinkToFit="false"/>
      <protection locked="true" hidden="false"/>
    </xf>
    <xf numFmtId="164" fontId="13" fillId="6" borderId="1"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1" shrinkToFit="false"/>
      <protection locked="true" hidden="false"/>
    </xf>
    <xf numFmtId="167" fontId="8" fillId="3"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7" fontId="13" fillId="6" borderId="1" xfId="0" applyFont="true" applyBorder="true" applyAlignment="true" applyProtection="false">
      <alignment horizontal="center" vertical="bottom" textRotation="0" wrapText="false" indent="0" shrinkToFit="false"/>
      <protection locked="true" hidden="false"/>
    </xf>
    <xf numFmtId="164" fontId="18" fillId="8" borderId="1" xfId="0" applyFont="true" applyBorder="true" applyAlignment="true" applyProtection="false">
      <alignment horizontal="general" vertical="bottom" textRotation="0" wrapText="false" indent="1" shrinkToFit="false"/>
      <protection locked="true" hidden="false"/>
    </xf>
    <xf numFmtId="164" fontId="14" fillId="7" borderId="1" xfId="0" applyFont="true" applyBorder="true" applyAlignment="true" applyProtection="false">
      <alignment horizontal="general" vertical="center" textRotation="0" wrapText="true" indent="1"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7" fontId="20" fillId="5"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13" fillId="9" borderId="1" xfId="0" applyFont="true" applyBorder="true" applyAlignment="false" applyProtection="false">
      <alignment horizontal="general" vertical="bottom" textRotation="0" wrapText="false" indent="0" shrinkToFit="false"/>
      <protection locked="true" hidden="false"/>
    </xf>
    <xf numFmtId="164" fontId="13" fillId="9"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26" fillId="5" borderId="1" xfId="0" applyFont="true" applyBorder="true" applyAlignment="true" applyProtection="false">
      <alignment horizontal="general" vertical="top" textRotation="0" wrapText="true" indent="1" shrinkToFit="false"/>
      <protection locked="true" hidden="false"/>
    </xf>
    <xf numFmtId="168"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EAF1F8"/>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F2F2F2"/>
      <rgbColor rgb="FFD9EAD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62"/>
    <col collapsed="false" customWidth="true" hidden="false" outlineLevel="0" max="3" min="3" style="0" width="30"/>
    <col collapsed="false" customWidth="true" hidden="false" outlineLevel="0" max="4" min="4" style="0" width="54"/>
    <col collapsed="false" customWidth="true" hidden="false" outlineLevel="0" max="5" min="5" style="0" width="40"/>
    <col collapsed="false" customWidth="true" hidden="false" outlineLevel="0" max="6" min="6" style="0" width="30"/>
    <col collapsed="false" customWidth="true" hidden="false" outlineLevel="0" max="7" min="7" style="0" width="34"/>
  </cols>
  <sheetData>
    <row r="1" customFormat="false" ht="27.75" hidden="false" customHeight="true" outlineLevel="0" collapsed="false">
      <c r="A1" s="1" t="s">
        <v>0</v>
      </c>
      <c r="B1" s="1"/>
      <c r="C1" s="1"/>
      <c r="D1" s="1"/>
      <c r="E1" s="1"/>
      <c r="F1" s="1"/>
      <c r="G1" s="1"/>
    </row>
    <row r="2" customFormat="false" ht="15" hidden="false" customHeight="true" outlineLevel="0" collapsed="false">
      <c r="A2" s="2" t="s">
        <v>1</v>
      </c>
      <c r="B2" s="2"/>
      <c r="C2" s="2"/>
      <c r="D2" s="2"/>
      <c r="E2" s="2"/>
      <c r="F2" s="2"/>
      <c r="G2" s="2"/>
    </row>
    <row r="4" customFormat="false" ht="17.35" hidden="false" customHeight="false" outlineLevel="0" collapsed="false">
      <c r="A4" s="3" t="s">
        <v>2</v>
      </c>
      <c r="B4" s="4" t="s">
        <v>3</v>
      </c>
    </row>
    <row r="5" customFormat="false" ht="25.5" hidden="false" customHeight="true" outlineLevel="0" collapsed="false">
      <c r="B5" s="5" t="s">
        <v>4</v>
      </c>
      <c r="C5" s="6" t="s">
        <v>5</v>
      </c>
    </row>
    <row r="7" customFormat="false" ht="21.75" hidden="false" customHeight="true" outlineLevel="0" collapsed="false">
      <c r="A7" s="7" t="s">
        <v>6</v>
      </c>
      <c r="B7" s="8" t="str">
        <f aca="false">IFERROR(INDEX($A$40:$G$61,MATCH($B$5,$A$40:$A$61,0),2),"")</f>
        <v>SAXBY, with a=1 and b=1</v>
      </c>
      <c r="C7" s="8"/>
      <c r="D7" s="8"/>
      <c r="E7" s="8"/>
      <c r="F7" s="8"/>
      <c r="G7" s="8"/>
    </row>
    <row r="8" customFormat="false" ht="19.5" hidden="false" customHeight="true" outlineLevel="0" collapsed="false">
      <c r="A8" s="7" t="s">
        <v>7</v>
      </c>
      <c r="B8" s="9" t="str">
        <f aca="false">IFERROR(INDEX($A$40:$G$61,MATCH($B$5,$A$40:$A$61,0),3),"")</f>
        <v>V(aX+bY)=a²V(X)+b²V(Y)+2ab·sdX·sdY·Corr</v>
      </c>
      <c r="C8" s="9"/>
      <c r="D8" s="9"/>
      <c r="E8" s="9"/>
      <c r="F8" s="9"/>
      <c r="G8" s="9"/>
    </row>
    <row r="10" customFormat="false" ht="73.5" hidden="false" customHeight="true" outlineLevel="0" collapsed="false">
      <c r="A10" s="7" t="s">
        <v>8</v>
      </c>
      <c r="B10" s="10" t="str">
        <f aca="false">IFERROR(INDEX($A$40:$G$61,MATCH($B$5,$A$40:$A$61,0),4),"")</f>
        <v>1. Sheet E. Set a=1, b=1.
2. Enter both means, both stdevs, the correlation.
3. The sheet shows all 5 steps of the variance.
4. Read E and stdev of the total.</v>
      </c>
      <c r="C10" s="10"/>
      <c r="D10" s="10"/>
      <c r="E10" s="10"/>
      <c r="F10" s="10"/>
      <c r="G10" s="10"/>
    </row>
    <row r="15" customFormat="false" ht="19.5" hidden="false" customHeight="true" outlineLevel="0" collapsed="false">
      <c r="A15" s="7" t="s">
        <v>9</v>
      </c>
      <c r="B15" s="11" t="str">
        <f aca="false">IFERROR(INDEX($A$40:$G$61,MATCH($B$5,$A$40:$A$61,0),5),"")</f>
        <v>Sheet  E · TWO VARIABLES (SAXBY)</v>
      </c>
      <c r="C15" s="11"/>
      <c r="D15" s="11"/>
      <c r="E15" s="11"/>
      <c r="F15" s="11"/>
      <c r="G15" s="11"/>
    </row>
    <row r="16" customFormat="false" ht="21.75" hidden="false" customHeight="true" outlineLevel="0" collapsed="false">
      <c r="A16" s="7" t="s">
        <v>10</v>
      </c>
      <c r="B16" s="12" t="str">
        <f aca="false">IFERROR(INDEX($A$40:$G$61,MATCH($B$5,$A$40:$A$61,0),6),"")</f>
        <v>stdev is NEVER just sdX+sdY. Square, add, then square-root.</v>
      </c>
      <c r="C16" s="12"/>
      <c r="D16" s="12"/>
      <c r="E16" s="12"/>
      <c r="F16" s="12"/>
      <c r="G16" s="12"/>
    </row>
    <row r="17" customFormat="false" ht="19.5" hidden="false" customHeight="true" outlineLevel="0" collapsed="false">
      <c r="A17" s="7" t="s">
        <v>11</v>
      </c>
      <c r="B17" s="13" t="str">
        <f aca="false">IFERROR(INDEX($A$40:$G$61,MATCH($B$5,$A$40:$A$61,0),7),"")</f>
        <v>L5: N(100,10)+N(150,15), ρ=.8 → E=250, sd=23.77</v>
      </c>
      <c r="C17" s="13"/>
      <c r="D17" s="13"/>
      <c r="E17" s="13"/>
      <c r="F17" s="13"/>
      <c r="G17" s="13"/>
    </row>
    <row r="19" customFormat="false" ht="15" hidden="false" customHeight="false" outlineLevel="0" collapsed="false">
      <c r="A19" s="14" t="s">
        <v>12</v>
      </c>
      <c r="B19" s="14"/>
      <c r="C19" s="14"/>
      <c r="D19" s="14"/>
      <c r="E19" s="14"/>
      <c r="F19" s="14"/>
      <c r="G19" s="14"/>
    </row>
    <row r="21" customFormat="false" ht="18.75" hidden="false" customHeight="true" outlineLevel="0" collapsed="false">
      <c r="A21" s="15" t="s">
        <v>13</v>
      </c>
      <c r="B21" s="15"/>
      <c r="C21" s="15"/>
      <c r="D21" s="15"/>
      <c r="E21" s="15"/>
      <c r="F21" s="15"/>
      <c r="G21" s="15"/>
    </row>
    <row r="22" customFormat="false" ht="15" hidden="false" customHeight="false" outlineLevel="0" collapsed="false">
      <c r="A22" s="16" t="s">
        <v>14</v>
      </c>
      <c r="B22" s="17" t="s">
        <v>15</v>
      </c>
      <c r="C22" s="17"/>
      <c r="D22" s="17"/>
      <c r="E22" s="17"/>
      <c r="F22" s="17"/>
      <c r="G22" s="17"/>
    </row>
    <row r="23" customFormat="false" ht="15" hidden="false" customHeight="false" outlineLevel="0" collapsed="false">
      <c r="A23" s="16" t="s">
        <v>16</v>
      </c>
      <c r="B23" s="17" t="s">
        <v>17</v>
      </c>
      <c r="C23" s="17"/>
      <c r="D23" s="17"/>
      <c r="E23" s="17"/>
      <c r="F23" s="17"/>
      <c r="G23" s="17"/>
    </row>
    <row r="24" customFormat="false" ht="15" hidden="false" customHeight="false" outlineLevel="0" collapsed="false">
      <c r="A24" s="16" t="s">
        <v>18</v>
      </c>
      <c r="B24" s="17" t="s">
        <v>19</v>
      </c>
      <c r="C24" s="17"/>
      <c r="D24" s="17"/>
      <c r="E24" s="17"/>
      <c r="F24" s="17"/>
      <c r="G24" s="17"/>
    </row>
    <row r="25" customFormat="false" ht="15" hidden="false" customHeight="false" outlineLevel="0" collapsed="false">
      <c r="A25" s="16" t="s">
        <v>20</v>
      </c>
      <c r="B25" s="17" t="s">
        <v>21</v>
      </c>
      <c r="C25" s="17"/>
      <c r="D25" s="17"/>
      <c r="E25" s="17"/>
      <c r="F25" s="17"/>
      <c r="G25" s="17"/>
    </row>
    <row r="26" customFormat="false" ht="15" hidden="false" customHeight="false" outlineLevel="0" collapsed="false">
      <c r="A26" s="16" t="s">
        <v>22</v>
      </c>
      <c r="B26" s="17" t="s">
        <v>23</v>
      </c>
      <c r="C26" s="17"/>
      <c r="D26" s="17"/>
      <c r="E26" s="17"/>
      <c r="F26" s="17"/>
      <c r="G26" s="17"/>
    </row>
    <row r="27" customFormat="false" ht="15" hidden="false" customHeight="false" outlineLevel="0" collapsed="false">
      <c r="A27" s="16" t="s">
        <v>24</v>
      </c>
      <c r="B27" s="17" t="s">
        <v>25</v>
      </c>
      <c r="C27" s="17"/>
      <c r="D27" s="17"/>
      <c r="E27" s="17"/>
      <c r="F27" s="17"/>
      <c r="G27" s="17"/>
    </row>
    <row r="29" customFormat="false" ht="18.75" hidden="false" customHeight="true" outlineLevel="0" collapsed="false">
      <c r="A29" s="15" t="s">
        <v>26</v>
      </c>
      <c r="B29" s="15"/>
      <c r="C29" s="15"/>
      <c r="D29" s="15"/>
      <c r="E29" s="15"/>
      <c r="F29" s="15"/>
      <c r="G29" s="15"/>
    </row>
    <row r="30" customFormat="false" ht="15" hidden="false" customHeight="false" outlineLevel="0" collapsed="false">
      <c r="A30" s="18" t="n">
        <v>1</v>
      </c>
      <c r="B30" s="17" t="s">
        <v>27</v>
      </c>
      <c r="C30" s="17"/>
      <c r="D30" s="17"/>
      <c r="E30" s="17"/>
      <c r="F30" s="17"/>
      <c r="G30" s="17"/>
    </row>
    <row r="31" customFormat="false" ht="15" hidden="false" customHeight="false" outlineLevel="0" collapsed="false">
      <c r="A31" s="18" t="n">
        <v>2</v>
      </c>
      <c r="B31" s="17" t="s">
        <v>28</v>
      </c>
      <c r="C31" s="17"/>
      <c r="D31" s="17"/>
      <c r="E31" s="17"/>
      <c r="F31" s="17"/>
      <c r="G31" s="17"/>
    </row>
    <row r="32" customFormat="false" ht="15" hidden="false" customHeight="false" outlineLevel="0" collapsed="false">
      <c r="A32" s="18" t="n">
        <v>3</v>
      </c>
      <c r="B32" s="17" t="s">
        <v>29</v>
      </c>
      <c r="C32" s="17"/>
      <c r="D32" s="17"/>
      <c r="E32" s="17"/>
      <c r="F32" s="17"/>
      <c r="G32" s="17"/>
    </row>
    <row r="33" customFormat="false" ht="15" hidden="false" customHeight="false" outlineLevel="0" collapsed="false">
      <c r="A33" s="18" t="n">
        <v>4</v>
      </c>
      <c r="B33" s="17" t="s">
        <v>30</v>
      </c>
      <c r="C33" s="17"/>
      <c r="D33" s="17"/>
      <c r="E33" s="17"/>
      <c r="F33" s="17"/>
      <c r="G33" s="17"/>
    </row>
    <row r="34" customFormat="false" ht="15" hidden="false" customHeight="false" outlineLevel="0" collapsed="false">
      <c r="A34" s="18" t="n">
        <v>5</v>
      </c>
      <c r="B34" s="17" t="s">
        <v>31</v>
      </c>
      <c r="C34" s="17"/>
      <c r="D34" s="17"/>
      <c r="E34" s="17"/>
      <c r="F34" s="17"/>
      <c r="G34" s="17"/>
    </row>
    <row r="35" customFormat="false" ht="15" hidden="false" customHeight="false" outlineLevel="0" collapsed="false">
      <c r="A35" s="18" t="n">
        <v>6</v>
      </c>
      <c r="B35" s="17" t="s">
        <v>32</v>
      </c>
      <c r="C35" s="17"/>
      <c r="D35" s="17"/>
      <c r="E35" s="17"/>
      <c r="F35" s="17"/>
      <c r="G35" s="17"/>
    </row>
    <row r="38" customFormat="false" ht="15" hidden="false" customHeight="false" outlineLevel="0" collapsed="false">
      <c r="A38" s="4" t="s">
        <v>33</v>
      </c>
    </row>
    <row r="39" customFormat="false" ht="102.2" hidden="false" customHeight="false" outlineLevel="0" collapsed="false">
      <c r="A39" s="19" t="s">
        <v>34</v>
      </c>
      <c r="B39" s="19" t="s">
        <v>35</v>
      </c>
      <c r="C39" s="19" t="s">
        <v>36</v>
      </c>
      <c r="D39" s="19" t="s">
        <v>37</v>
      </c>
      <c r="E39" s="19" t="s">
        <v>38</v>
      </c>
      <c r="F39" s="19" t="s">
        <v>39</v>
      </c>
      <c r="G39" s="19" t="s">
        <v>40</v>
      </c>
    </row>
    <row r="40" customFormat="false" ht="45.75" hidden="false" customHeight="true" outlineLevel="0" collapsed="false">
      <c r="A40" s="20" t="s">
        <v>41</v>
      </c>
      <c r="B40" s="20" t="s">
        <v>42</v>
      </c>
      <c r="C40" s="20" t="s">
        <v>43</v>
      </c>
      <c r="D40" s="20" t="s">
        <v>44</v>
      </c>
      <c r="E40" s="20" t="s">
        <v>45</v>
      </c>
      <c r="F40" s="20" t="s">
        <v>46</v>
      </c>
      <c r="G40" s="20" t="s">
        <v>47</v>
      </c>
    </row>
    <row r="41" customFormat="false" ht="45.75" hidden="false" customHeight="true" outlineLevel="0" collapsed="false">
      <c r="A41" s="20" t="s">
        <v>48</v>
      </c>
      <c r="B41" s="20" t="s">
        <v>49</v>
      </c>
      <c r="C41" s="20" t="s">
        <v>50</v>
      </c>
      <c r="D41" s="20" t="s">
        <v>51</v>
      </c>
      <c r="E41" s="20" t="s">
        <v>52</v>
      </c>
      <c r="F41" s="20" t="s">
        <v>53</v>
      </c>
      <c r="G41" s="20" t="s">
        <v>54</v>
      </c>
    </row>
    <row r="42" customFormat="false" ht="45.75" hidden="false" customHeight="true" outlineLevel="0" collapsed="false">
      <c r="A42" s="20" t="s">
        <v>55</v>
      </c>
      <c r="B42" s="20" t="s">
        <v>56</v>
      </c>
      <c r="C42" s="20" t="s">
        <v>57</v>
      </c>
      <c r="D42" s="20" t="s">
        <v>58</v>
      </c>
      <c r="E42" s="20" t="s">
        <v>52</v>
      </c>
      <c r="F42" s="20" t="s">
        <v>59</v>
      </c>
      <c r="G42" s="20" t="s">
        <v>60</v>
      </c>
    </row>
    <row r="43" customFormat="false" ht="45.75" hidden="false" customHeight="true" outlineLevel="0" collapsed="false">
      <c r="A43" s="20" t="s">
        <v>61</v>
      </c>
      <c r="B43" s="20" t="s">
        <v>62</v>
      </c>
      <c r="C43" s="20" t="s">
        <v>63</v>
      </c>
      <c r="D43" s="20" t="s">
        <v>64</v>
      </c>
      <c r="E43" s="20" t="s">
        <v>52</v>
      </c>
      <c r="F43" s="20" t="s">
        <v>65</v>
      </c>
      <c r="G43" s="20" t="s">
        <v>66</v>
      </c>
    </row>
    <row r="44" customFormat="false" ht="45.75" hidden="false" customHeight="true" outlineLevel="0" collapsed="false">
      <c r="A44" s="20" t="s">
        <v>67</v>
      </c>
      <c r="B44" s="20" t="s">
        <v>68</v>
      </c>
      <c r="C44" s="20" t="s">
        <v>69</v>
      </c>
      <c r="D44" s="20" t="s">
        <v>70</v>
      </c>
      <c r="E44" s="20" t="s">
        <v>52</v>
      </c>
      <c r="F44" s="20" t="s">
        <v>71</v>
      </c>
      <c r="G44" s="20" t="s">
        <v>72</v>
      </c>
    </row>
    <row r="45" customFormat="false" ht="45.75" hidden="false" customHeight="true" outlineLevel="0" collapsed="false">
      <c r="A45" s="20" t="s">
        <v>73</v>
      </c>
      <c r="B45" s="20" t="s">
        <v>74</v>
      </c>
      <c r="C45" s="20" t="s">
        <v>75</v>
      </c>
      <c r="D45" s="20" t="s">
        <v>76</v>
      </c>
      <c r="E45" s="20" t="s">
        <v>52</v>
      </c>
      <c r="F45" s="20" t="s">
        <v>77</v>
      </c>
      <c r="G45" s="20" t="s">
        <v>78</v>
      </c>
    </row>
    <row r="46" customFormat="false" ht="45.75" hidden="false" customHeight="true" outlineLevel="0" collapsed="false">
      <c r="A46" s="20" t="s">
        <v>79</v>
      </c>
      <c r="B46" s="20" t="s">
        <v>80</v>
      </c>
      <c r="C46" s="20" t="s">
        <v>81</v>
      </c>
      <c r="D46" s="20" t="s">
        <v>82</v>
      </c>
      <c r="E46" s="20" t="s">
        <v>83</v>
      </c>
      <c r="F46" s="20" t="s">
        <v>84</v>
      </c>
      <c r="G46" s="20" t="s">
        <v>85</v>
      </c>
    </row>
    <row r="47" customFormat="false" ht="45.75" hidden="false" customHeight="true" outlineLevel="0" collapsed="false">
      <c r="A47" s="20" t="s">
        <v>86</v>
      </c>
      <c r="B47" s="20" t="s">
        <v>87</v>
      </c>
      <c r="C47" s="20" t="s">
        <v>88</v>
      </c>
      <c r="D47" s="20" t="s">
        <v>89</v>
      </c>
      <c r="E47" s="20" t="s">
        <v>83</v>
      </c>
      <c r="F47" s="20" t="s">
        <v>90</v>
      </c>
      <c r="G47" s="20" t="s">
        <v>91</v>
      </c>
    </row>
    <row r="48" customFormat="false" ht="45.75" hidden="false" customHeight="true" outlineLevel="0" collapsed="false">
      <c r="A48" s="20" t="s">
        <v>92</v>
      </c>
      <c r="B48" s="20" t="s">
        <v>93</v>
      </c>
      <c r="C48" s="20" t="s">
        <v>94</v>
      </c>
      <c r="D48" s="20" t="s">
        <v>95</v>
      </c>
      <c r="E48" s="20" t="s">
        <v>83</v>
      </c>
      <c r="F48" s="20" t="s">
        <v>96</v>
      </c>
      <c r="G48" s="20" t="s">
        <v>97</v>
      </c>
    </row>
    <row r="49" customFormat="false" ht="45.75" hidden="false" customHeight="true" outlineLevel="0" collapsed="false">
      <c r="A49" s="20" t="s">
        <v>98</v>
      </c>
      <c r="B49" s="20" t="s">
        <v>99</v>
      </c>
      <c r="C49" s="20" t="s">
        <v>100</v>
      </c>
      <c r="D49" s="20" t="s">
        <v>101</v>
      </c>
      <c r="E49" s="20" t="s">
        <v>102</v>
      </c>
      <c r="F49" s="20" t="s">
        <v>103</v>
      </c>
      <c r="G49" s="20" t="s">
        <v>104</v>
      </c>
    </row>
    <row r="50" customFormat="false" ht="45.75" hidden="false" customHeight="true" outlineLevel="0" collapsed="false">
      <c r="A50" s="20" t="s">
        <v>105</v>
      </c>
      <c r="B50" s="20" t="s">
        <v>106</v>
      </c>
      <c r="C50" s="20" t="s">
        <v>107</v>
      </c>
      <c r="D50" s="20" t="s">
        <v>108</v>
      </c>
      <c r="E50" s="20" t="s">
        <v>102</v>
      </c>
      <c r="F50" s="20" t="s">
        <v>109</v>
      </c>
      <c r="G50" s="20" t="s">
        <v>110</v>
      </c>
    </row>
    <row r="51" customFormat="false" ht="45.75" hidden="false" customHeight="true" outlineLevel="0" collapsed="false">
      <c r="A51" s="20" t="s">
        <v>111</v>
      </c>
      <c r="B51" s="20" t="s">
        <v>112</v>
      </c>
      <c r="C51" s="20" t="s">
        <v>113</v>
      </c>
      <c r="D51" s="20" t="s">
        <v>114</v>
      </c>
      <c r="E51" s="20" t="s">
        <v>102</v>
      </c>
      <c r="F51" s="20" t="s">
        <v>115</v>
      </c>
      <c r="G51" s="20" t="s">
        <v>116</v>
      </c>
    </row>
    <row r="52" customFormat="false" ht="45.75" hidden="false" customHeight="true" outlineLevel="0" collapsed="false">
      <c r="A52" s="20" t="s">
        <v>4</v>
      </c>
      <c r="B52" s="20" t="s">
        <v>117</v>
      </c>
      <c r="C52" s="20" t="s">
        <v>118</v>
      </c>
      <c r="D52" s="20" t="s">
        <v>119</v>
      </c>
      <c r="E52" s="20" t="s">
        <v>120</v>
      </c>
      <c r="F52" s="20" t="s">
        <v>121</v>
      </c>
      <c r="G52" s="20" t="s">
        <v>122</v>
      </c>
    </row>
    <row r="53" customFormat="false" ht="45.75" hidden="false" customHeight="true" outlineLevel="0" collapsed="false">
      <c r="A53" s="20" t="s">
        <v>123</v>
      </c>
      <c r="B53" s="20" t="s">
        <v>124</v>
      </c>
      <c r="C53" s="20" t="s">
        <v>125</v>
      </c>
      <c r="D53" s="20" t="s">
        <v>126</v>
      </c>
      <c r="E53" s="20" t="s">
        <v>120</v>
      </c>
      <c r="F53" s="20" t="s">
        <v>127</v>
      </c>
      <c r="G53" s="20" t="s">
        <v>128</v>
      </c>
    </row>
    <row r="54" customFormat="false" ht="45.75" hidden="false" customHeight="true" outlineLevel="0" collapsed="false">
      <c r="A54" s="20" t="s">
        <v>129</v>
      </c>
      <c r="B54" s="20" t="s">
        <v>130</v>
      </c>
      <c r="C54" s="20" t="s">
        <v>131</v>
      </c>
      <c r="D54" s="20" t="s">
        <v>132</v>
      </c>
      <c r="E54" s="20" t="s">
        <v>120</v>
      </c>
      <c r="F54" s="20" t="s">
        <v>133</v>
      </c>
      <c r="G54" s="20" t="s">
        <v>134</v>
      </c>
    </row>
    <row r="55" customFormat="false" ht="45.75" hidden="false" customHeight="true" outlineLevel="0" collapsed="false">
      <c r="A55" s="20" t="s">
        <v>135</v>
      </c>
      <c r="B55" s="20" t="s">
        <v>136</v>
      </c>
      <c r="C55" s="20" t="s">
        <v>137</v>
      </c>
      <c r="D55" s="20" t="s">
        <v>138</v>
      </c>
      <c r="E55" s="20" t="s">
        <v>120</v>
      </c>
      <c r="F55" s="20" t="s">
        <v>139</v>
      </c>
      <c r="G55" s="20" t="s">
        <v>140</v>
      </c>
    </row>
    <row r="56" customFormat="false" ht="45.75" hidden="false" customHeight="true" outlineLevel="0" collapsed="false">
      <c r="A56" s="20" t="s">
        <v>141</v>
      </c>
      <c r="B56" s="20" t="s">
        <v>142</v>
      </c>
      <c r="C56" s="20" t="s">
        <v>143</v>
      </c>
      <c r="D56" s="20" t="s">
        <v>144</v>
      </c>
      <c r="E56" s="20" t="s">
        <v>145</v>
      </c>
      <c r="F56" s="20" t="s">
        <v>146</v>
      </c>
      <c r="G56" s="20" t="s">
        <v>147</v>
      </c>
    </row>
    <row r="57" customFormat="false" ht="45.75" hidden="false" customHeight="true" outlineLevel="0" collapsed="false">
      <c r="A57" s="20" t="s">
        <v>148</v>
      </c>
      <c r="B57" s="20" t="s">
        <v>149</v>
      </c>
      <c r="C57" s="20" t="s">
        <v>150</v>
      </c>
      <c r="D57" s="20" t="s">
        <v>151</v>
      </c>
      <c r="E57" s="20" t="s">
        <v>145</v>
      </c>
      <c r="F57" s="20" t="s">
        <v>152</v>
      </c>
      <c r="G57" s="20" t="s">
        <v>153</v>
      </c>
    </row>
    <row r="58" customFormat="false" ht="45.75" hidden="false" customHeight="true" outlineLevel="0" collapsed="false">
      <c r="A58" s="20" t="s">
        <v>154</v>
      </c>
      <c r="B58" s="20" t="s">
        <v>155</v>
      </c>
      <c r="C58" s="20" t="s">
        <v>156</v>
      </c>
      <c r="D58" s="20" t="s">
        <v>157</v>
      </c>
      <c r="E58" s="20" t="s">
        <v>145</v>
      </c>
      <c r="F58" s="20" t="s">
        <v>158</v>
      </c>
      <c r="G58" s="20" t="s">
        <v>159</v>
      </c>
    </row>
    <row r="59" customFormat="false" ht="45.75" hidden="false" customHeight="true" outlineLevel="0" collapsed="false">
      <c r="A59" s="20" t="s">
        <v>160</v>
      </c>
      <c r="B59" s="20" t="s">
        <v>161</v>
      </c>
      <c r="C59" s="20" t="s">
        <v>162</v>
      </c>
      <c r="D59" s="20" t="s">
        <v>163</v>
      </c>
      <c r="E59" s="20" t="s">
        <v>145</v>
      </c>
      <c r="F59" s="20" t="s">
        <v>164</v>
      </c>
      <c r="G59" s="20" t="s">
        <v>165</v>
      </c>
    </row>
    <row r="60" customFormat="false" ht="45.75" hidden="false" customHeight="true" outlineLevel="0" collapsed="false">
      <c r="A60" s="20" t="s">
        <v>166</v>
      </c>
      <c r="B60" s="20" t="s">
        <v>167</v>
      </c>
      <c r="C60" s="20" t="s">
        <v>168</v>
      </c>
      <c r="D60" s="20" t="s">
        <v>169</v>
      </c>
      <c r="E60" s="20" t="s">
        <v>170</v>
      </c>
      <c r="F60" s="20" t="s">
        <v>171</v>
      </c>
      <c r="G60" s="20" t="s">
        <v>172</v>
      </c>
    </row>
    <row r="61" customFormat="false" ht="45.75" hidden="false" customHeight="true" outlineLevel="0" collapsed="false">
      <c r="A61" s="20" t="s">
        <v>173</v>
      </c>
      <c r="B61" s="20" t="s">
        <v>174</v>
      </c>
      <c r="C61" s="20" t="s">
        <v>175</v>
      </c>
      <c r="D61" s="20" t="s">
        <v>176</v>
      </c>
      <c r="E61" s="20" t="s">
        <v>45</v>
      </c>
      <c r="F61" s="20" t="s">
        <v>177</v>
      </c>
      <c r="G61" s="20" t="s">
        <v>178</v>
      </c>
    </row>
  </sheetData>
  <mergeCells count="23">
    <mergeCell ref="A1:G1"/>
    <mergeCell ref="A2:G2"/>
    <mergeCell ref="B7:G7"/>
    <mergeCell ref="B8:G8"/>
    <mergeCell ref="B10:G10"/>
    <mergeCell ref="B15:G15"/>
    <mergeCell ref="B16:G16"/>
    <mergeCell ref="B17:G17"/>
    <mergeCell ref="A19:G19"/>
    <mergeCell ref="A21:G21"/>
    <mergeCell ref="B22:G22"/>
    <mergeCell ref="B23:G23"/>
    <mergeCell ref="B24:G24"/>
    <mergeCell ref="B25:G25"/>
    <mergeCell ref="B26:G26"/>
    <mergeCell ref="B27:G27"/>
    <mergeCell ref="A29:G29"/>
    <mergeCell ref="B30:G30"/>
    <mergeCell ref="B31:G31"/>
    <mergeCell ref="B32:G32"/>
    <mergeCell ref="B33:G33"/>
    <mergeCell ref="B34:G34"/>
    <mergeCell ref="B35:G35"/>
  </mergeCells>
  <dataValidations count="1">
    <dataValidation allowBlank="false" error="Pick one of the listed question types." errorStyle="stop" operator="between" prompt="Choose the sentence closest to your exam question." promptTitle="Your question" showDropDown="false" showErrorMessage="false" showInputMessage="false" sqref="B5" type="list">
      <formula1>$A$40:$A$61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6"/>
    <col collapsed="false" customWidth="true" hidden="false" outlineLevel="0" max="4" min="4" style="0" width="8"/>
    <col collapsed="false" customWidth="true" hidden="false" outlineLevel="0" max="5" min="5" style="0" width="34"/>
    <col collapsed="false" customWidth="true" hidden="false" outlineLevel="0" max="6" min="6" style="0" width="16"/>
    <col collapsed="false" customWidth="true" hidden="false" outlineLevel="0" max="7" min="7" style="0" width="38"/>
    <col collapsed="false" customWidth="true" hidden="false" outlineLevel="0" max="9" min="8" style="0" width="10"/>
  </cols>
  <sheetData>
    <row r="1" customFormat="false" ht="27.75" hidden="false" customHeight="true" outlineLevel="0" collapsed="false">
      <c r="A1" s="1" t="s">
        <v>179</v>
      </c>
      <c r="B1" s="1"/>
      <c r="C1" s="1"/>
      <c r="D1" s="1"/>
      <c r="E1" s="1"/>
      <c r="F1" s="1"/>
      <c r="G1" s="1"/>
    </row>
    <row r="2" customFormat="false" ht="15" hidden="false" customHeight="true" outlineLevel="0" collapsed="false">
      <c r="A2" s="2" t="s">
        <v>180</v>
      </c>
      <c r="B2" s="2"/>
      <c r="C2" s="2"/>
      <c r="D2" s="2"/>
      <c r="E2" s="2"/>
      <c r="F2" s="2"/>
      <c r="G2" s="2"/>
    </row>
    <row r="4" customFormat="false" ht="18.75" hidden="false" customHeight="true" outlineLevel="0" collapsed="false">
      <c r="A4" s="15" t="s">
        <v>181</v>
      </c>
      <c r="B4" s="15"/>
      <c r="C4" s="15"/>
    </row>
    <row r="5" customFormat="false" ht="15" hidden="false" customHeight="false" outlineLevel="0" collapsed="false">
      <c r="A5" s="21" t="s">
        <v>182</v>
      </c>
      <c r="B5" s="22" t="n">
        <f aca="false">COUNT($H$8:$H$1007)</f>
        <v>5</v>
      </c>
    </row>
    <row r="6" customFormat="false" ht="15" hidden="false" customHeight="false" outlineLevel="0" collapsed="false">
      <c r="A6" s="21" t="s">
        <v>183</v>
      </c>
      <c r="B6" s="23" t="n">
        <f aca="false">IF(COUNT($H$8:$H$1007)=0,"",AVERAGE($H$8:$H$1007))</f>
        <v>6.6</v>
      </c>
    </row>
    <row r="7" customFormat="false" ht="15" hidden="false" customHeight="false" outlineLevel="0" collapsed="false">
      <c r="A7" s="21" t="s">
        <v>184</v>
      </c>
      <c r="B7" s="23" t="n">
        <f aca="false">IF(COUNT($H$8:$H$1007)=0,"",MEDIAN($H$8:$H$1007))</f>
        <v>7</v>
      </c>
      <c r="H7" s="24" t="s">
        <v>185</v>
      </c>
      <c r="I7" s="24" t="s">
        <v>186</v>
      </c>
    </row>
    <row r="8" customFormat="false" ht="15" hidden="false" customHeight="false" outlineLevel="0" collapsed="false">
      <c r="A8" s="21" t="s">
        <v>187</v>
      </c>
      <c r="B8" s="23" t="n">
        <f aca="false">IF(COUNT($H$8:$H$1007)&lt;2,"",STDEV($H$8:$H$1007))</f>
        <v>3.20936130717624</v>
      </c>
      <c r="H8" s="25" t="n">
        <v>2</v>
      </c>
      <c r="I8" s="25" t="n">
        <v>3</v>
      </c>
    </row>
    <row r="9" customFormat="false" ht="15" hidden="false" customHeight="false" outlineLevel="0" collapsed="false">
      <c r="A9" s="21" t="s">
        <v>188</v>
      </c>
      <c r="B9" s="23" t="n">
        <f aca="false">IF(COUNT($H$8:$H$1007)&lt;2,"",VAR($H$8:$H$1007))</f>
        <v>10.3</v>
      </c>
      <c r="H9" s="25" t="n">
        <v>5</v>
      </c>
      <c r="I9" s="25" t="n">
        <v>6</v>
      </c>
    </row>
    <row r="10" customFormat="false" ht="15" hidden="false" customHeight="false" outlineLevel="0" collapsed="false">
      <c r="A10" s="21" t="s">
        <v>189</v>
      </c>
      <c r="B10" s="26" t="str">
        <f aca="false">IF(COUNT($H$8:$H$1007)=0,"",MIN($H$8:$H$1007)&amp;"  /  "&amp;MAX($H$8:$H$1007))</f>
        <v>2  /  10</v>
      </c>
      <c r="H10" s="25" t="n">
        <v>7</v>
      </c>
      <c r="I10" s="25" t="n">
        <v>6</v>
      </c>
    </row>
    <row r="11" customFormat="false" ht="15" hidden="false" customHeight="false" outlineLevel="0" collapsed="false">
      <c r="A11" s="21" t="s">
        <v>190</v>
      </c>
      <c r="B11" s="23" t="n">
        <f aca="false">IFERROR(SKEW($H$8:$H$1007),"")</f>
        <v>-0.608051298654373</v>
      </c>
      <c r="H11" s="25" t="n">
        <v>9</v>
      </c>
      <c r="I11" s="25" t="n">
        <v>10</v>
      </c>
    </row>
    <row r="12" customFormat="false" ht="15" hidden="false" customHeight="false" outlineLevel="0" collapsed="false">
      <c r="A12" s="21" t="s">
        <v>191</v>
      </c>
      <c r="B12" s="23" t="n">
        <f aca="false">IFERROR(KURT($H$8:$H$1007),"")</f>
        <v>-0.681496842303705</v>
      </c>
      <c r="H12" s="25" t="n">
        <v>10</v>
      </c>
      <c r="I12" s="25" t="n">
        <v>11</v>
      </c>
    </row>
    <row r="13" customFormat="false" ht="15" hidden="false" customHeight="false" outlineLevel="0" collapsed="false">
      <c r="A13" s="21" t="s">
        <v>192</v>
      </c>
      <c r="B13" s="23" t="n">
        <f aca="false">IFERROR(KURT($H$8:$H$1007)+3,"")</f>
        <v>2.3185031576963</v>
      </c>
      <c r="H13" s="27"/>
      <c r="I13" s="27"/>
    </row>
    <row r="14" customFormat="false" ht="15" hidden="false" customHeight="false" outlineLevel="0" collapsed="false">
      <c r="H14" s="27"/>
      <c r="I14" s="27"/>
    </row>
    <row r="15" customFormat="false" ht="30" hidden="false" customHeight="true" outlineLevel="0" collapsed="false">
      <c r="A15" s="28" t="s">
        <v>193</v>
      </c>
      <c r="B15" s="11" t="str">
        <f aca="false">IF(B11="","",IF(B11&gt;0.5,"RIGHT (positive) skew: Mode &lt; Median &lt; Mean. A few very LARGE values pull the mean up. Quote the MEDIAN as typical.",IF(B11&lt;-0.5,"LEFT (negative) skew: Mean &lt; Median &lt; Mode. A few very SMALL values drag the mean down.","Roughly symmetric — |skew| is under 0.5."))&amp;"   ")</f>
        <v>LEFT (negative) skew: Mean &lt; Median &lt; Mode. A few very SMALL values drag the mean down.   </v>
      </c>
      <c r="C15" s="11"/>
      <c r="H15" s="27"/>
      <c r="I15" s="27"/>
    </row>
    <row r="16" customFormat="false" ht="15" hidden="false" customHeight="false" outlineLevel="0" collapsed="false">
      <c r="H16" s="27"/>
      <c r="I16" s="27"/>
    </row>
    <row r="17" customFormat="false" ht="30" hidden="false" customHeight="true" outlineLevel="0" collapsed="false">
      <c r="A17" s="28" t="s">
        <v>194</v>
      </c>
      <c r="B17" s="11" t="str">
        <f aca="false">IF(B13="","",IF(B13&gt;3.5,"HEAVY tails (kurtosis "&amp;TEXT(B13,"0.00")&amp;" &gt; 3): extremes happen MORE often than a Normal predicts, so a Normal approximation is risky.",IF(B13&lt;2.5,"LIGHT tails (kurtosis "&amp;TEXT(B13,"0.00")&amp;" &lt; 3): fewer extremes than Normal.","Close to Normal (kurtosis near 3).")))</f>
        <v>LIGHT tails (kurtosis 2.32 &lt; 3): fewer extremes than Normal.</v>
      </c>
      <c r="C17" s="11"/>
      <c r="H17" s="27"/>
      <c r="I17" s="27"/>
    </row>
    <row r="18" customFormat="false" ht="24" hidden="false" customHeight="true" outlineLevel="0" collapsed="false">
      <c r="A18" s="29" t="s">
        <v>195</v>
      </c>
      <c r="B18" s="29"/>
      <c r="C18" s="29"/>
      <c r="H18" s="27"/>
      <c r="I18" s="27"/>
    </row>
    <row r="19" customFormat="false" ht="15" hidden="false" customHeight="false" outlineLevel="0" collapsed="false">
      <c r="A19" s="6" t="s">
        <v>196</v>
      </c>
      <c r="H19" s="27"/>
      <c r="I19" s="27"/>
    </row>
    <row r="20" customFormat="false" ht="15" hidden="false" customHeight="false" outlineLevel="0" collapsed="false">
      <c r="H20" s="27"/>
      <c r="I20" s="27"/>
    </row>
    <row r="21" customFormat="false" ht="18.75" hidden="false" customHeight="true" outlineLevel="0" collapsed="false">
      <c r="A21" s="15" t="s">
        <v>197</v>
      </c>
      <c r="B21" s="15"/>
      <c r="C21" s="15"/>
      <c r="E21" s="15" t="s">
        <v>198</v>
      </c>
      <c r="F21" s="15"/>
      <c r="G21" s="15"/>
      <c r="H21" s="27"/>
      <c r="I21" s="27"/>
    </row>
    <row r="22" customFormat="false" ht="15" hidden="false" customHeight="false" outlineLevel="0" collapsed="false">
      <c r="A22" s="21" t="s">
        <v>199</v>
      </c>
      <c r="B22" s="22" t="n">
        <f aca="false">COUNT($I$8:$I$1007)</f>
        <v>5</v>
      </c>
      <c r="C22" s="6" t="s">
        <v>200</v>
      </c>
      <c r="E22" s="30" t="s">
        <v>201</v>
      </c>
      <c r="F22" s="31" t="s">
        <v>202</v>
      </c>
      <c r="G22" s="31"/>
      <c r="H22" s="27"/>
      <c r="I22" s="27"/>
    </row>
    <row r="23" customFormat="false" ht="15" hidden="false" customHeight="false" outlineLevel="0" collapsed="false">
      <c r="A23" s="21" t="s">
        <v>203</v>
      </c>
      <c r="B23" s="32" t="n">
        <f aca="false">IFERROR(CORREL($H$8:$H$1007,$I$8:$I$1007),"")</f>
        <v>0.962079304595711</v>
      </c>
      <c r="C23" s="6" t="s">
        <v>204</v>
      </c>
      <c r="E23" s="30" t="s">
        <v>205</v>
      </c>
      <c r="F23" s="33" t="s">
        <v>206</v>
      </c>
      <c r="G23" s="33"/>
      <c r="H23" s="27"/>
      <c r="I23" s="27"/>
    </row>
    <row r="24" customFormat="false" ht="15" hidden="false" customHeight="false" outlineLevel="0" collapsed="false">
      <c r="A24" s="21" t="s">
        <v>207</v>
      </c>
      <c r="B24" s="23" t="n">
        <f aca="false">IFERROR(CORREL($H$8:$H$1007,$I$8:$I$1007)*STDEV($H$8:$H$1007)*STDEV($I$8:$I$1007),"")</f>
        <v>10.1</v>
      </c>
      <c r="C24" s="6" t="s">
        <v>208</v>
      </c>
      <c r="E24" s="30" t="s">
        <v>209</v>
      </c>
      <c r="F24" s="33" t="s">
        <v>210</v>
      </c>
      <c r="G24" s="33"/>
      <c r="H24" s="27"/>
      <c r="I24" s="27"/>
    </row>
    <row r="25" customFormat="false" ht="15" hidden="false" customHeight="false" outlineLevel="0" collapsed="false">
      <c r="A25" s="21" t="s">
        <v>211</v>
      </c>
      <c r="B25" s="23" t="n">
        <f aca="false">IFERROR(SLOPE($I$8:$I$1007,$H$8:$H$1007),"")</f>
        <v>0.980582524271845</v>
      </c>
      <c r="C25" s="6" t="s">
        <v>212</v>
      </c>
      <c r="E25" s="30" t="s">
        <v>213</v>
      </c>
      <c r="F25" s="33" t="s">
        <v>214</v>
      </c>
      <c r="G25" s="33"/>
      <c r="H25" s="27"/>
      <c r="I25" s="27"/>
    </row>
    <row r="26" customFormat="false" ht="15" hidden="false" customHeight="false" outlineLevel="0" collapsed="false">
      <c r="A26" s="21" t="s">
        <v>215</v>
      </c>
      <c r="B26" s="32" t="n">
        <f aca="false">IFERROR(RSQ($I$8:$I$1007,$H$8:$H$1007),"")</f>
        <v>0.925596588331367</v>
      </c>
      <c r="C26" s="6" t="s">
        <v>216</v>
      </c>
      <c r="E26" s="30" t="s">
        <v>217</v>
      </c>
      <c r="F26" s="33" t="s">
        <v>218</v>
      </c>
      <c r="G26" s="33"/>
      <c r="H26" s="27"/>
      <c r="I26" s="27"/>
    </row>
    <row r="27" customFormat="false" ht="15" hidden="false" customHeight="false" outlineLevel="0" collapsed="false">
      <c r="H27" s="27"/>
      <c r="I27" s="27"/>
    </row>
    <row r="28" customFormat="false" ht="30" hidden="false" customHeight="true" outlineLevel="0" collapsed="false">
      <c r="A28" s="28" t="s">
        <v>219</v>
      </c>
      <c r="B28" s="11" t="str">
        <f aca="false">IF(B23="","",IF(B23&gt;0,"POSITIVE: they move in the SAME direction. ","NEGATIVE: they move in OPPOSITE directions. ")&amp;IF(ABS(B23)&gt;0.8,"Strong linear relationship.",IF(ABS(B23)&gt;0.5,"Moderate linear relationship.",IF(ABS(B23)&gt;0.2,"Weak linear relationship.","Essentially no linear relationship."))))</f>
        <v>POSITIVE: they move in the SAME direction. Strong linear relationship.</v>
      </c>
      <c r="C28" s="11"/>
      <c r="H28" s="27"/>
      <c r="I28" s="27"/>
    </row>
    <row r="29" customFormat="false" ht="15" hidden="false" customHeight="false" outlineLevel="0" collapsed="false">
      <c r="H29" s="27"/>
      <c r="I29" s="27"/>
    </row>
    <row r="30" customFormat="false" ht="15" hidden="false" customHeight="false" outlineLevel="0" collapsed="false">
      <c r="H30" s="27"/>
      <c r="I30" s="27"/>
    </row>
    <row r="31" customFormat="false" ht="15" hidden="false" customHeight="false" outlineLevel="0" collapsed="false">
      <c r="H31" s="27"/>
      <c r="I31" s="27"/>
    </row>
    <row r="32" customFormat="false" ht="15" hidden="false" customHeight="false" outlineLevel="0" collapsed="false">
      <c r="H32" s="27"/>
      <c r="I32" s="27"/>
    </row>
    <row r="33" customFormat="false" ht="15" hidden="false" customHeight="false" outlineLevel="0" collapsed="false">
      <c r="H33" s="27"/>
      <c r="I33" s="27"/>
    </row>
    <row r="34" customFormat="false" ht="15" hidden="false" customHeight="false" outlineLevel="0" collapsed="false">
      <c r="H34" s="27"/>
      <c r="I34" s="27"/>
    </row>
    <row r="35" customFormat="false" ht="15" hidden="false" customHeight="false" outlineLevel="0" collapsed="false">
      <c r="H35" s="27"/>
      <c r="I35" s="27"/>
    </row>
    <row r="36" customFormat="false" ht="15" hidden="false" customHeight="false" outlineLevel="0" collapsed="false">
      <c r="H36" s="27"/>
      <c r="I36" s="27"/>
    </row>
    <row r="37" customFormat="false" ht="15" hidden="false" customHeight="false" outlineLevel="0" collapsed="false">
      <c r="H37" s="27"/>
      <c r="I37" s="27"/>
    </row>
    <row r="38" customFormat="false" ht="15" hidden="false" customHeight="false" outlineLevel="0" collapsed="false">
      <c r="H38" s="27"/>
      <c r="I38" s="27"/>
    </row>
    <row r="39" customFormat="false" ht="15" hidden="false" customHeight="false" outlineLevel="0" collapsed="false">
      <c r="H39" s="27"/>
      <c r="I39" s="27"/>
    </row>
    <row r="40" customFormat="false" ht="15" hidden="false" customHeight="false" outlineLevel="0" collapsed="false">
      <c r="H40" s="27"/>
      <c r="I40" s="27"/>
    </row>
    <row r="41" customFormat="false" ht="15" hidden="false" customHeight="false" outlineLevel="0" collapsed="false">
      <c r="H41" s="27"/>
      <c r="I41" s="27"/>
    </row>
    <row r="42" customFormat="false" ht="15" hidden="false" customHeight="false" outlineLevel="0" collapsed="false">
      <c r="H42" s="27"/>
      <c r="I42" s="27"/>
    </row>
    <row r="43" customFormat="false" ht="15" hidden="false" customHeight="false" outlineLevel="0" collapsed="false">
      <c r="H43" s="27"/>
      <c r="I43" s="27"/>
    </row>
    <row r="44" customFormat="false" ht="15" hidden="false" customHeight="false" outlineLevel="0" collapsed="false">
      <c r="H44" s="27"/>
      <c r="I44" s="27"/>
    </row>
    <row r="45" customFormat="false" ht="15" hidden="false" customHeight="false" outlineLevel="0" collapsed="false">
      <c r="H45" s="27"/>
      <c r="I45" s="27"/>
    </row>
    <row r="46" customFormat="false" ht="15" hidden="false" customHeight="false" outlineLevel="0" collapsed="false">
      <c r="H46" s="27"/>
      <c r="I46" s="27"/>
    </row>
    <row r="47" customFormat="false" ht="15" hidden="false" customHeight="false" outlineLevel="0" collapsed="false">
      <c r="H47" s="27"/>
      <c r="I47" s="27"/>
    </row>
    <row r="48" customFormat="false" ht="15" hidden="false" customHeight="false" outlineLevel="0" collapsed="false">
      <c r="H48" s="27"/>
      <c r="I48" s="27"/>
    </row>
    <row r="49" customFormat="false" ht="15" hidden="false" customHeight="false" outlineLevel="0" collapsed="false">
      <c r="H49" s="27"/>
      <c r="I49" s="27"/>
    </row>
    <row r="50" customFormat="false" ht="15" hidden="false" customHeight="false" outlineLevel="0" collapsed="false">
      <c r="H50" s="27"/>
      <c r="I50" s="27"/>
    </row>
    <row r="51" customFormat="false" ht="15" hidden="false" customHeight="false" outlineLevel="0" collapsed="false">
      <c r="H51" s="27"/>
      <c r="I51" s="27"/>
    </row>
    <row r="52" customFormat="false" ht="15" hidden="false" customHeight="false" outlineLevel="0" collapsed="false">
      <c r="H52" s="27"/>
      <c r="I52" s="27"/>
    </row>
    <row r="53" customFormat="false" ht="15" hidden="false" customHeight="false" outlineLevel="0" collapsed="false">
      <c r="H53" s="27"/>
      <c r="I53" s="27"/>
    </row>
    <row r="54" customFormat="false" ht="15" hidden="false" customHeight="false" outlineLevel="0" collapsed="false">
      <c r="H54" s="27"/>
      <c r="I54" s="27"/>
    </row>
    <row r="55" customFormat="false" ht="15" hidden="false" customHeight="false" outlineLevel="0" collapsed="false">
      <c r="H55" s="27"/>
      <c r="I55" s="27"/>
    </row>
    <row r="56" customFormat="false" ht="15" hidden="false" customHeight="false" outlineLevel="0" collapsed="false">
      <c r="H56" s="27"/>
      <c r="I56" s="27"/>
    </row>
    <row r="57" customFormat="false" ht="15" hidden="false" customHeight="false" outlineLevel="0" collapsed="false">
      <c r="H57" s="27"/>
      <c r="I57" s="27"/>
    </row>
    <row r="58" customFormat="false" ht="15" hidden="false" customHeight="false" outlineLevel="0" collapsed="false">
      <c r="H58" s="27"/>
      <c r="I58" s="27"/>
    </row>
    <row r="59" customFormat="false" ht="15" hidden="false" customHeight="false" outlineLevel="0" collapsed="false">
      <c r="H59" s="27"/>
      <c r="I59" s="27"/>
    </row>
    <row r="60" customFormat="false" ht="15" hidden="false" customHeight="false" outlineLevel="0" collapsed="false">
      <c r="H60" s="27"/>
      <c r="I60" s="27"/>
    </row>
    <row r="61" customFormat="false" ht="15" hidden="false" customHeight="false" outlineLevel="0" collapsed="false">
      <c r="H61" s="27"/>
      <c r="I61" s="27"/>
    </row>
    <row r="62" customFormat="false" ht="15" hidden="false" customHeight="false" outlineLevel="0" collapsed="false">
      <c r="H62" s="27"/>
      <c r="I62" s="27"/>
    </row>
    <row r="63" customFormat="false" ht="15" hidden="false" customHeight="false" outlineLevel="0" collapsed="false">
      <c r="H63" s="27"/>
      <c r="I63" s="27"/>
    </row>
    <row r="64" customFormat="false" ht="15" hidden="false" customHeight="false" outlineLevel="0" collapsed="false">
      <c r="H64" s="27"/>
      <c r="I64" s="27"/>
    </row>
    <row r="65" customFormat="false" ht="15" hidden="false" customHeight="false" outlineLevel="0" collapsed="false">
      <c r="H65" s="27"/>
      <c r="I65" s="27"/>
    </row>
    <row r="66" customFormat="false" ht="15" hidden="false" customHeight="false" outlineLevel="0" collapsed="false">
      <c r="H66" s="27"/>
      <c r="I66" s="27"/>
    </row>
    <row r="67" customFormat="false" ht="15" hidden="false" customHeight="false" outlineLevel="0" collapsed="false">
      <c r="H67" s="27"/>
      <c r="I67" s="27"/>
    </row>
    <row r="68" customFormat="false" ht="15" hidden="false" customHeight="false" outlineLevel="0" collapsed="false">
      <c r="H68" s="27"/>
      <c r="I68" s="27"/>
    </row>
    <row r="69" customFormat="false" ht="15" hidden="false" customHeight="false" outlineLevel="0" collapsed="false">
      <c r="H69" s="27"/>
      <c r="I69" s="27"/>
    </row>
    <row r="70" customFormat="false" ht="15" hidden="false" customHeight="false" outlineLevel="0" collapsed="false">
      <c r="H70" s="27"/>
      <c r="I70" s="27"/>
    </row>
    <row r="71" customFormat="false" ht="15" hidden="false" customHeight="false" outlineLevel="0" collapsed="false">
      <c r="H71" s="27"/>
      <c r="I71" s="27"/>
    </row>
    <row r="72" customFormat="false" ht="15" hidden="false" customHeight="false" outlineLevel="0" collapsed="false">
      <c r="H72" s="27"/>
      <c r="I72" s="27"/>
    </row>
    <row r="73" customFormat="false" ht="15" hidden="false" customHeight="false" outlineLevel="0" collapsed="false">
      <c r="H73" s="27"/>
      <c r="I73" s="27"/>
    </row>
    <row r="74" customFormat="false" ht="15" hidden="false" customHeight="false" outlineLevel="0" collapsed="false">
      <c r="H74" s="27"/>
      <c r="I74" s="27"/>
    </row>
    <row r="75" customFormat="false" ht="15" hidden="false" customHeight="false" outlineLevel="0" collapsed="false">
      <c r="H75" s="27"/>
      <c r="I75" s="27"/>
    </row>
    <row r="76" customFormat="false" ht="15" hidden="false" customHeight="false" outlineLevel="0" collapsed="false">
      <c r="H76" s="27"/>
      <c r="I76" s="27"/>
    </row>
    <row r="77" customFormat="false" ht="15" hidden="false" customHeight="false" outlineLevel="0" collapsed="false">
      <c r="H77" s="27"/>
      <c r="I77" s="27"/>
    </row>
  </sheetData>
  <mergeCells count="14">
    <mergeCell ref="A1:G1"/>
    <mergeCell ref="A2:G2"/>
    <mergeCell ref="A4:C4"/>
    <mergeCell ref="B15:C15"/>
    <mergeCell ref="B17:C17"/>
    <mergeCell ref="A18:C18"/>
    <mergeCell ref="A21:C21"/>
    <mergeCell ref="E21:G21"/>
    <mergeCell ref="F22:G22"/>
    <mergeCell ref="F23:G23"/>
    <mergeCell ref="F24:G24"/>
    <mergeCell ref="F25:G25"/>
    <mergeCell ref="F26:G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6"/>
    <col collapsed="false" customWidth="true" hidden="false" outlineLevel="0" max="3" min="3" style="0" width="18"/>
    <col collapsed="false" customWidth="true" hidden="false" outlineLevel="0" max="4" min="4" style="0" width="8"/>
    <col collapsed="false" customWidth="true" hidden="false" outlineLevel="0" max="5" min="5" style="0" width="42"/>
    <col collapsed="false" customWidth="true" hidden="false" outlineLevel="0" max="8" min="6" style="0" width="16"/>
  </cols>
  <sheetData>
    <row r="1" customFormat="false" ht="27.75" hidden="false" customHeight="true" outlineLevel="0" collapsed="false">
      <c r="A1" s="1" t="s">
        <v>220</v>
      </c>
      <c r="B1" s="1"/>
      <c r="C1" s="1"/>
      <c r="D1" s="1"/>
      <c r="E1" s="1"/>
      <c r="F1" s="1"/>
      <c r="G1" s="1"/>
      <c r="H1" s="1"/>
    </row>
    <row r="2" customFormat="false" ht="15" hidden="false" customHeight="true" outlineLevel="0" collapsed="false">
      <c r="A2" s="2" t="s">
        <v>221</v>
      </c>
      <c r="B2" s="2"/>
      <c r="C2" s="2"/>
      <c r="D2" s="2"/>
      <c r="E2" s="2"/>
      <c r="F2" s="2"/>
      <c r="G2" s="2"/>
      <c r="H2" s="2"/>
    </row>
    <row r="4" customFormat="false" ht="18.75" hidden="false" customHeight="true" outlineLevel="0" collapsed="false">
      <c r="A4" s="15" t="s">
        <v>222</v>
      </c>
      <c r="B4" s="15"/>
      <c r="C4" s="15"/>
    </row>
    <row r="5" customFormat="false" ht="15" hidden="false" customHeight="false" outlineLevel="0" collapsed="false">
      <c r="A5" s="21" t="s">
        <v>223</v>
      </c>
      <c r="B5" s="25" t="n">
        <v>80</v>
      </c>
      <c r="C5" s="6" t="s">
        <v>224</v>
      </c>
      <c r="E5" s="15" t="s">
        <v>225</v>
      </c>
      <c r="F5" s="15"/>
      <c r="G5" s="15"/>
      <c r="H5" s="15"/>
    </row>
    <row r="6" customFormat="false" ht="15" hidden="false" customHeight="false" outlineLevel="0" collapsed="false">
      <c r="A6" s="21" t="s">
        <v>226</v>
      </c>
      <c r="B6" s="25" t="n">
        <v>10</v>
      </c>
      <c r="E6" s="34" t="s">
        <v>227</v>
      </c>
      <c r="F6" s="34"/>
      <c r="G6" s="34"/>
      <c r="H6" s="34"/>
    </row>
    <row r="7" customFormat="false" ht="15" hidden="false" customHeight="false" outlineLevel="0" collapsed="false">
      <c r="E7" s="34" t="s">
        <v>228</v>
      </c>
      <c r="F7" s="34"/>
      <c r="G7" s="34"/>
      <c r="H7" s="34"/>
    </row>
    <row r="8" customFormat="false" ht="18.75" hidden="false" customHeight="true" outlineLevel="0" collapsed="false">
      <c r="A8" s="15" t="s">
        <v>229</v>
      </c>
      <c r="B8" s="15"/>
      <c r="C8" s="15"/>
      <c r="E8" s="34" t="s">
        <v>230</v>
      </c>
      <c r="F8" s="34"/>
      <c r="G8" s="34"/>
      <c r="H8" s="34"/>
    </row>
    <row r="9" customFormat="false" ht="15" hidden="false" customHeight="false" outlineLevel="0" collapsed="false">
      <c r="A9" s="21" t="s">
        <v>231</v>
      </c>
      <c r="B9" s="25" t="n">
        <v>90</v>
      </c>
      <c r="E9" s="34"/>
      <c r="F9" s="34"/>
      <c r="G9" s="34"/>
      <c r="H9" s="34"/>
    </row>
    <row r="10" customFormat="false" ht="15" hidden="false" customHeight="false" outlineLevel="0" collapsed="false">
      <c r="A10" s="35" t="s">
        <v>232</v>
      </c>
      <c r="B10" s="36" t="s">
        <v>233</v>
      </c>
      <c r="C10" s="23" t="n">
        <f aca="false">IFERROR((B9-B5)/B6,"")</f>
        <v>1</v>
      </c>
      <c r="E10" s="37" t="s">
        <v>234</v>
      </c>
      <c r="F10" s="37"/>
      <c r="G10" s="37"/>
      <c r="H10" s="37"/>
    </row>
    <row r="11" customFormat="false" ht="15" hidden="false" customHeight="false" outlineLevel="0" collapsed="false">
      <c r="A11" s="35" t="s">
        <v>235</v>
      </c>
      <c r="B11" s="36" t="s">
        <v>236</v>
      </c>
      <c r="C11" s="32" t="n">
        <f aca="false">IFERROR(NORMSDIST(C10),"")</f>
        <v>0.841344746068543</v>
      </c>
      <c r="E11" s="34" t="s">
        <v>237</v>
      </c>
      <c r="F11" s="34"/>
      <c r="G11" s="34"/>
      <c r="H11" s="34"/>
    </row>
    <row r="12" customFormat="false" ht="15" hidden="false" customHeight="false" outlineLevel="0" collapsed="false">
      <c r="A12" s="35" t="s">
        <v>238</v>
      </c>
      <c r="B12" s="36" t="s">
        <v>239</v>
      </c>
      <c r="C12" s="32" t="n">
        <f aca="false">IFERROR(1-C11,"")</f>
        <v>0.158655253931457</v>
      </c>
      <c r="E12" s="34" t="s">
        <v>240</v>
      </c>
      <c r="F12" s="34"/>
      <c r="G12" s="34"/>
      <c r="H12" s="34"/>
    </row>
    <row r="13" customFormat="false" ht="15" hidden="false" customHeight="false" outlineLevel="0" collapsed="false">
      <c r="E13" s="34"/>
      <c r="F13" s="34"/>
      <c r="G13" s="34"/>
      <c r="H13" s="34"/>
    </row>
    <row r="14" customFormat="false" ht="30" hidden="false" customHeight="true" outlineLevel="0" collapsed="false">
      <c r="A14" s="28" t="s">
        <v>241</v>
      </c>
      <c r="B14" s="11" t="str">
        <f aca="false">"z = "&amp;TEXT(C10,"0.0000")&amp;".  You are above "&amp;TEXT(C11,"0.0%")&amp;" of the group — the "&amp;TEXT(ROUND(C11*100,0),"0")&amp;"th percentile.  "&amp;TEXT(C12,"0.0%")&amp;" scored higher."</f>
        <v>z = 1.0000.  You are above 84.1% of the group — the 84th percentile.  15.9% scored higher.</v>
      </c>
      <c r="C14" s="11"/>
    </row>
    <row r="15" customFormat="false" ht="15" hidden="false" customHeight="false" outlineLevel="0" collapsed="false">
      <c r="A15" s="6" t="s">
        <v>242</v>
      </c>
    </row>
    <row r="17" customFormat="false" ht="18.75" hidden="false" customHeight="true" outlineLevel="0" collapsed="false">
      <c r="A17" s="15" t="s">
        <v>243</v>
      </c>
      <c r="B17" s="15"/>
      <c r="C17" s="15"/>
    </row>
    <row r="18" customFormat="false" ht="15" hidden="false" customHeight="false" outlineLevel="0" collapsed="false">
      <c r="A18" s="21" t="s">
        <v>244</v>
      </c>
      <c r="B18" s="25" t="n">
        <v>75</v>
      </c>
    </row>
    <row r="19" customFormat="false" ht="15" hidden="false" customHeight="false" outlineLevel="0" collapsed="false">
      <c r="A19" s="21" t="s">
        <v>245</v>
      </c>
      <c r="B19" s="25" t="n">
        <v>90</v>
      </c>
    </row>
    <row r="20" customFormat="false" ht="15" hidden="false" customHeight="false" outlineLevel="0" collapsed="false">
      <c r="A20" s="35" t="s">
        <v>232</v>
      </c>
      <c r="B20" s="36" t="s">
        <v>246</v>
      </c>
      <c r="C20" s="32" t="n">
        <f aca="false">IFERROR(NORMDIST(B18,B5,B6,TRUE()),"")</f>
        <v>0.308537538725987</v>
      </c>
    </row>
    <row r="21" customFormat="false" ht="15" hidden="false" customHeight="false" outlineLevel="0" collapsed="false">
      <c r="A21" s="35" t="s">
        <v>235</v>
      </c>
      <c r="B21" s="36" t="s">
        <v>247</v>
      </c>
      <c r="C21" s="32" t="n">
        <f aca="false">IFERROR(NORMDIST(B19,B5,B6,TRUE()),"")</f>
        <v>0.841344746068543</v>
      </c>
    </row>
    <row r="22" customFormat="false" ht="15" hidden="false" customHeight="false" outlineLevel="0" collapsed="false">
      <c r="A22" s="35" t="s">
        <v>238</v>
      </c>
      <c r="B22" s="36" t="s">
        <v>248</v>
      </c>
      <c r="C22" s="32" t="n">
        <f aca="false">IFERROR(C21-C20,"")</f>
        <v>0.532807207342556</v>
      </c>
    </row>
    <row r="24" customFormat="false" ht="30" hidden="false" customHeight="true" outlineLevel="0" collapsed="false">
      <c r="A24" s="28" t="s">
        <v>241</v>
      </c>
      <c r="B24" s="11" t="str">
        <f aca="false">"P(X &lt; "&amp;TEXT(B18,"0.##")&amp;") = "&amp;TEXT(C20,"0.0000")&amp;"    |    P(X &gt; "&amp;TEXT(B19,"0.##")&amp;") = "&amp;TEXT(1-C21,"0.0000")&amp;"    |    P("&amp;TEXT(B18,"0.##")&amp;" &lt; X &lt; "&amp;TEXT(B19,"0.##")&amp;") = "&amp;TEXT(C22,"0.0000")</f>
        <v>P(X &lt; 75) = 0.3085    |    P(X &gt; 90) = 0.1587    |    P(75 &lt; X &lt; 90) = 0.5328</v>
      </c>
      <c r="C24" s="11"/>
    </row>
    <row r="25" customFormat="false" ht="24" hidden="false" customHeight="true" outlineLevel="0" collapsed="false">
      <c r="A25" s="29" t="s">
        <v>249</v>
      </c>
      <c r="B25" s="29"/>
      <c r="C25" s="29"/>
    </row>
    <row r="27" customFormat="false" ht="18.75" hidden="false" customHeight="true" outlineLevel="0" collapsed="false">
      <c r="A27" s="15" t="s">
        <v>250</v>
      </c>
      <c r="B27" s="15"/>
      <c r="C27" s="15"/>
    </row>
    <row r="28" customFormat="false" ht="15" hidden="false" customHeight="false" outlineLevel="0" collapsed="false">
      <c r="A28" s="6" t="s">
        <v>251</v>
      </c>
    </row>
    <row r="29" customFormat="false" ht="15" hidden="false" customHeight="false" outlineLevel="0" collapsed="false">
      <c r="A29" s="21" t="s">
        <v>252</v>
      </c>
      <c r="B29" s="38" t="n">
        <v>0.1</v>
      </c>
      <c r="C29" s="6" t="s">
        <v>253</v>
      </c>
    </row>
    <row r="30" customFormat="false" ht="15" hidden="false" customHeight="false" outlineLevel="0" collapsed="false">
      <c r="A30" s="35" t="s">
        <v>232</v>
      </c>
      <c r="B30" s="36" t="s">
        <v>254</v>
      </c>
      <c r="C30" s="23" t="n">
        <f aca="false">IFERROR(1-B29,"")</f>
        <v>0.9</v>
      </c>
    </row>
    <row r="31" customFormat="false" ht="15" hidden="false" customHeight="false" outlineLevel="0" collapsed="false">
      <c r="A31" s="35" t="s">
        <v>235</v>
      </c>
      <c r="B31" s="36" t="s">
        <v>255</v>
      </c>
      <c r="C31" s="23" t="n">
        <f aca="false">IFERROR(NORMINV(1-B29,B5,B6),"")</f>
        <v>92.815515655446</v>
      </c>
    </row>
    <row r="32" customFormat="false" ht="15" hidden="false" customHeight="false" outlineLevel="0" collapsed="false">
      <c r="A32" s="21" t="s">
        <v>256</v>
      </c>
      <c r="B32" s="38" t="n">
        <v>0.05</v>
      </c>
      <c r="C32" s="6" t="s">
        <v>257</v>
      </c>
    </row>
    <row r="33" customFormat="false" ht="15" hidden="false" customHeight="false" outlineLevel="0" collapsed="false">
      <c r="A33" s="35" t="s">
        <v>238</v>
      </c>
      <c r="B33" s="36" t="s">
        <v>258</v>
      </c>
      <c r="C33" s="23" t="n">
        <f aca="false">IFERROR(NORMINV(B32,B5,B6),"")</f>
        <v>63.5514637304853</v>
      </c>
    </row>
    <row r="35" customFormat="false" ht="30" hidden="false" customHeight="true" outlineLevel="0" collapsed="false">
      <c r="A35" s="28" t="s">
        <v>241</v>
      </c>
      <c r="B35" s="11" t="str">
        <f aca="false">"Top "&amp;TEXT(B29,"0.0%")&amp;" starts at "&amp;TEXT(C31,"0.00")&amp;".     Bottom "&amp;TEXT(B32,"0.0%")&amp;" is anything below "&amp;TEXT(C33,"0.00")&amp;"."</f>
        <v>Top 10.0% starts at 92.82.     Bottom 5.0% is anything below 63.55.</v>
      </c>
      <c r="C35" s="11"/>
    </row>
    <row r="36" customFormat="false" ht="24" hidden="false" customHeight="true" outlineLevel="0" collapsed="false">
      <c r="A36" s="29" t="s">
        <v>259</v>
      </c>
      <c r="B36" s="29"/>
      <c r="C36" s="29"/>
    </row>
    <row r="37" customFormat="false" ht="15" hidden="false" customHeight="false" outlineLevel="0" collapsed="false">
      <c r="A37" s="6" t="s">
        <v>260</v>
      </c>
    </row>
    <row r="39" customFormat="false" ht="18.75" hidden="false" customHeight="true" outlineLevel="0" collapsed="false">
      <c r="A39" s="15" t="s">
        <v>261</v>
      </c>
      <c r="B39" s="15"/>
      <c r="C39" s="15"/>
    </row>
    <row r="40" customFormat="false" ht="15" hidden="false" customHeight="false" outlineLevel="0" collapsed="false">
      <c r="A40" s="6" t="s">
        <v>262</v>
      </c>
    </row>
    <row r="41" customFormat="false" ht="15" hidden="false" customHeight="false" outlineLevel="0" collapsed="false">
      <c r="A41" s="39"/>
      <c r="B41" s="39" t="s">
        <v>263</v>
      </c>
      <c r="C41" s="39" t="s">
        <v>264</v>
      </c>
      <c r="D41" s="39" t="s">
        <v>265</v>
      </c>
      <c r="E41" s="39" t="s">
        <v>266</v>
      </c>
      <c r="F41" s="39" t="s">
        <v>267</v>
      </c>
    </row>
    <row r="42" customFormat="false" ht="15" hidden="false" customHeight="false" outlineLevel="0" collapsed="false">
      <c r="A42" s="16" t="s">
        <v>268</v>
      </c>
      <c r="B42" s="25" t="n">
        <v>11.75</v>
      </c>
      <c r="C42" s="25" t="n">
        <v>0.57</v>
      </c>
      <c r="D42" s="25" t="n">
        <v>7.25</v>
      </c>
      <c r="E42" s="23" t="n">
        <f aca="false">IFERROR((B42-C42)/D42,"")</f>
        <v>1.54206896551724</v>
      </c>
      <c r="F42" s="23" t="n">
        <f aca="false">IFERROR(ABS(E42),"")</f>
        <v>1.54206896551724</v>
      </c>
    </row>
    <row r="43" customFormat="false" ht="15" hidden="false" customHeight="false" outlineLevel="0" collapsed="false">
      <c r="A43" s="16" t="s">
        <v>269</v>
      </c>
      <c r="B43" s="25" t="n">
        <v>10.39</v>
      </c>
      <c r="C43" s="25" t="n">
        <v>0.46</v>
      </c>
      <c r="D43" s="25" t="n">
        <v>4.49</v>
      </c>
      <c r="E43" s="23" t="n">
        <f aca="false">IFERROR((B43-C43)/D43,"")</f>
        <v>2.21158129175947</v>
      </c>
      <c r="F43" s="23" t="n">
        <f aca="false">IFERROR(ABS(E43),"")</f>
        <v>2.21158129175947</v>
      </c>
    </row>
    <row r="44" customFormat="false" ht="30" hidden="false" customHeight="true" outlineLevel="0" collapsed="false">
      <c r="A44" s="28" t="s">
        <v>241</v>
      </c>
      <c r="B44" s="11" t="str">
        <f aca="false">IF(OR(E42="",E43=""),"",IF(F42&gt;F43,"CASE A is more exceptional: "&amp;TEXT(F42,"0.00")&amp;" stdevs from its own mean, versus "&amp;TEXT(F43,"0.00")&amp;" for case B.","CASE B is more exceptional: "&amp;TEXT(F43,"0.00")&amp;" stdevs from its own mean, versus "&amp;TEXT(F42,"0.00")&amp;" for case A."))</f>
        <v>CASE B is more exceptional: 2.21 stdevs from its own mean, versus 1.54 for case A.</v>
      </c>
      <c r="C44" s="11"/>
      <c r="D44" s="11"/>
      <c r="E44" s="11"/>
      <c r="F44" s="11"/>
    </row>
  </sheetData>
  <mergeCells count="22">
    <mergeCell ref="A1:H1"/>
    <mergeCell ref="A2:H2"/>
    <mergeCell ref="A4:C4"/>
    <mergeCell ref="E5:H5"/>
    <mergeCell ref="E6:H6"/>
    <mergeCell ref="E7:H7"/>
    <mergeCell ref="A8:C8"/>
    <mergeCell ref="E8:H8"/>
    <mergeCell ref="E9:H9"/>
    <mergeCell ref="E10:H10"/>
    <mergeCell ref="E11:H11"/>
    <mergeCell ref="E12:H12"/>
    <mergeCell ref="E13:H13"/>
    <mergeCell ref="B14:C14"/>
    <mergeCell ref="A17:C17"/>
    <mergeCell ref="B24:C24"/>
    <mergeCell ref="A25:C25"/>
    <mergeCell ref="A27:C27"/>
    <mergeCell ref="B35:C35"/>
    <mergeCell ref="A36:C36"/>
    <mergeCell ref="A39:C39"/>
    <mergeCell ref="B44:F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3" min="2" style="0" width="14"/>
    <col collapsed="false" customWidth="true" hidden="false" outlineLevel="0" max="4" min="4" style="0" width="16"/>
    <col collapsed="false" customWidth="true" hidden="false" outlineLevel="0" max="5" min="5" style="0" width="18"/>
    <col collapsed="false" customWidth="true" hidden="false" outlineLevel="0" max="6" min="6" style="0" width="8"/>
    <col collapsed="false" customWidth="true" hidden="false" outlineLevel="0" max="8" min="7" style="0" width="16"/>
    <col collapsed="false" customWidth="true" hidden="false" outlineLevel="0" max="9" min="9" style="0" width="6"/>
    <col collapsed="false" customWidth="true" hidden="false" outlineLevel="0" max="10" min="10" style="0" width="34"/>
    <col collapsed="false" customWidth="true" hidden="false" outlineLevel="0" max="11" min="11" style="0" width="16"/>
    <col collapsed="false" customWidth="true" hidden="false" outlineLevel="0" max="12" min="12" style="0" width="38"/>
  </cols>
  <sheetData>
    <row r="1" customFormat="false" ht="27.75" hidden="false" customHeight="true" outlineLevel="0" collapsed="false">
      <c r="A1" s="1" t="s">
        <v>270</v>
      </c>
      <c r="B1" s="1"/>
      <c r="C1" s="1"/>
      <c r="D1" s="1"/>
      <c r="E1" s="1"/>
      <c r="F1" s="1"/>
      <c r="G1" s="1"/>
      <c r="H1" s="1"/>
      <c r="I1" s="1"/>
      <c r="J1" s="1"/>
      <c r="K1" s="1"/>
      <c r="L1" s="1"/>
    </row>
    <row r="2" customFormat="false" ht="15" hidden="false" customHeight="true" outlineLevel="0" collapsed="false">
      <c r="A2" s="2" t="s">
        <v>271</v>
      </c>
      <c r="B2" s="2"/>
      <c r="C2" s="2"/>
      <c r="D2" s="2"/>
      <c r="E2" s="2"/>
      <c r="F2" s="2"/>
      <c r="G2" s="2"/>
      <c r="H2" s="2"/>
      <c r="I2" s="2"/>
      <c r="J2" s="2"/>
      <c r="K2" s="2"/>
      <c r="L2" s="2"/>
    </row>
    <row r="4" customFormat="false" ht="18.75" hidden="false" customHeight="true" outlineLevel="0" collapsed="false">
      <c r="A4" s="15" t="s">
        <v>272</v>
      </c>
      <c r="B4" s="15"/>
      <c r="C4" s="15"/>
      <c r="D4" s="15"/>
      <c r="E4" s="15"/>
      <c r="F4" s="15"/>
      <c r="G4" s="15"/>
      <c r="H4" s="15"/>
      <c r="I4" s="15"/>
      <c r="J4" s="15"/>
      <c r="K4" s="15"/>
      <c r="L4" s="15"/>
    </row>
    <row r="5" customFormat="false" ht="15" hidden="false" customHeight="false" outlineLevel="0" collapsed="false">
      <c r="G5" s="14" t="s">
        <v>273</v>
      </c>
      <c r="H5" s="14"/>
      <c r="J5" s="15" t="s">
        <v>274</v>
      </c>
      <c r="K5" s="15"/>
      <c r="L5" s="15"/>
    </row>
    <row r="6" customFormat="false" ht="25.5" hidden="false" customHeight="true" outlineLevel="0" collapsed="false">
      <c r="B6" s="19" t="s">
        <v>275</v>
      </c>
      <c r="C6" s="19" t="s">
        <v>276</v>
      </c>
      <c r="D6" s="19" t="s">
        <v>277</v>
      </c>
      <c r="E6" s="19" t="s">
        <v>278</v>
      </c>
      <c r="G6" s="19" t="s">
        <v>279</v>
      </c>
      <c r="H6" s="19" t="s">
        <v>280</v>
      </c>
    </row>
    <row r="7" customFormat="false" ht="15" hidden="false" customHeight="false" outlineLevel="0" collapsed="false">
      <c r="B7" s="25" t="n">
        <v>0</v>
      </c>
      <c r="C7" s="38" t="n">
        <v>0.1</v>
      </c>
      <c r="D7" s="40" t="n">
        <f aca="false">IF(OR($B7="",$C7=""),"",$B7*$C7)</f>
        <v>0</v>
      </c>
      <c r="E7" s="40" t="n">
        <f aca="false">IF(OR($B7="",$C7=""),"",$C7*($B7-$K$8)^2)</f>
        <v>0.324</v>
      </c>
      <c r="G7" s="25" t="n">
        <v>0</v>
      </c>
      <c r="H7" s="40" t="n">
        <f aca="false">IF(OR($G7="",$C7=""),"",$G7*$C7)</f>
        <v>0</v>
      </c>
      <c r="J7" s="21" t="s">
        <v>281</v>
      </c>
      <c r="K7" s="32" t="n">
        <f aca="false">C27</f>
        <v>1</v>
      </c>
      <c r="L7" s="6" t="s">
        <v>282</v>
      </c>
    </row>
    <row r="8" customFormat="false" ht="15" hidden="false" customHeight="false" outlineLevel="0" collapsed="false">
      <c r="B8" s="25" t="n">
        <v>1</v>
      </c>
      <c r="C8" s="38" t="n">
        <v>0.3</v>
      </c>
      <c r="D8" s="40" t="n">
        <f aca="false">IF(OR($B8="",$C8=""),"",$B8*$C8)</f>
        <v>0.3</v>
      </c>
      <c r="E8" s="40" t="n">
        <f aca="false">IF(OR($B8="",$C8=""),"",$C8*($B8-$K$8)^2)</f>
        <v>0.192</v>
      </c>
      <c r="G8" s="25" t="n">
        <v>15</v>
      </c>
      <c r="H8" s="40" t="n">
        <f aca="false">IF(OR($G8="",$C8=""),"",$G8*$C8)</f>
        <v>4.5</v>
      </c>
      <c r="J8" s="21" t="s">
        <v>283</v>
      </c>
      <c r="K8" s="32" t="n">
        <f aca="false">SUMPRODUCT(B7:B26,C7:C26)</f>
        <v>1.8</v>
      </c>
      <c r="L8" s="6" t="s">
        <v>284</v>
      </c>
    </row>
    <row r="9" customFormat="false" ht="15" hidden="false" customHeight="false" outlineLevel="0" collapsed="false">
      <c r="B9" s="25" t="n">
        <v>2</v>
      </c>
      <c r="C9" s="38" t="n">
        <v>0.3</v>
      </c>
      <c r="D9" s="40" t="n">
        <f aca="false">IF(OR($B9="",$C9=""),"",$B9*$C9)</f>
        <v>0.6</v>
      </c>
      <c r="E9" s="40" t="n">
        <f aca="false">IF(OR($B9="",$C9=""),"",$C9*($B9-$K$8)^2)</f>
        <v>0.012</v>
      </c>
      <c r="G9" s="25" t="n">
        <v>52.5</v>
      </c>
      <c r="H9" s="40" t="n">
        <f aca="false">IF(OR($G9="",$C9=""),"",$G9*$C9)</f>
        <v>15.75</v>
      </c>
      <c r="J9" s="21" t="s">
        <v>285</v>
      </c>
      <c r="K9" s="32" t="n">
        <f aca="false">E27</f>
        <v>0.96</v>
      </c>
      <c r="L9" s="6" t="s">
        <v>286</v>
      </c>
    </row>
    <row r="10" customFormat="false" ht="15" hidden="false" customHeight="false" outlineLevel="0" collapsed="false">
      <c r="B10" s="25" t="n">
        <v>3</v>
      </c>
      <c r="C10" s="38" t="n">
        <v>0.3</v>
      </c>
      <c r="D10" s="40" t="n">
        <f aca="false">IF(OR($B10="",$C10=""),"",$B10*$C10)</f>
        <v>0.9</v>
      </c>
      <c r="E10" s="40" t="n">
        <f aca="false">IF(OR($B10="",$C10=""),"",$C10*($B10-$K$8)^2)</f>
        <v>0.432</v>
      </c>
      <c r="G10" s="25" t="n">
        <v>82.5</v>
      </c>
      <c r="H10" s="40" t="n">
        <f aca="false">IF(OR($G10="",$C10=""),"",$G10*$C10)</f>
        <v>24.75</v>
      </c>
      <c r="J10" s="21" t="s">
        <v>287</v>
      </c>
      <c r="K10" s="32" t="n">
        <f aca="false">IFERROR(SQRT(K9),"")</f>
        <v>0.979795897113271</v>
      </c>
      <c r="L10" s="6" t="s">
        <v>288</v>
      </c>
    </row>
    <row r="11" customFormat="false" ht="15" hidden="false" customHeight="false" outlineLevel="0" collapsed="false">
      <c r="B11" s="25"/>
      <c r="C11" s="38"/>
      <c r="D11" s="40" t="str">
        <f aca="false">IF(OR($B11="",$C11=""),"",$B11*$C11)</f>
        <v/>
      </c>
      <c r="E11" s="40" t="str">
        <f aca="false">IF(OR($B11="",$C11=""),"",$C11*($B11-$K$8)^2)</f>
        <v/>
      </c>
      <c r="G11" s="25"/>
      <c r="H11" s="40" t="str">
        <f aca="false">IF(OR($G11="",$C11=""),"",$G11*$C11)</f>
        <v/>
      </c>
      <c r="J11" s="41" t="str">
        <f aca="false">IF(ABS(K7-1)&lt;0.0000001,"Probabilities check out.","STOP — your probabilities add to "&amp;TEXT(K7,"0.000000")&amp;", not 1.")</f>
        <v>Probabilities check out.</v>
      </c>
      <c r="K11" s="41"/>
      <c r="L11" s="41"/>
    </row>
    <row r="12" customFormat="false" ht="15" hidden="false" customHeight="false" outlineLevel="0" collapsed="false">
      <c r="B12" s="25"/>
      <c r="C12" s="38"/>
      <c r="D12" s="40" t="str">
        <f aca="false">IF(OR($B12="",$C12=""),"",$B12*$C12)</f>
        <v/>
      </c>
      <c r="E12" s="40" t="str">
        <f aca="false">IF(OR($B12="",$C12=""),"",$C12*($B12-$K$8)^2)</f>
        <v/>
      </c>
      <c r="G12" s="25"/>
      <c r="H12" s="40" t="str">
        <f aca="false">IF(OR($G12="",$C12=""),"",$G12*$C12)</f>
        <v/>
      </c>
      <c r="J12" s="21" t="s">
        <v>289</v>
      </c>
      <c r="K12" s="32" t="n">
        <f aca="false">SUMPRODUCT(G7:G26,C7:C26)</f>
        <v>45</v>
      </c>
      <c r="L12" s="6" t="s">
        <v>290</v>
      </c>
    </row>
    <row r="13" customFormat="false" ht="15" hidden="false" customHeight="false" outlineLevel="0" collapsed="false">
      <c r="B13" s="25"/>
      <c r="C13" s="38"/>
      <c r="D13" s="40" t="str">
        <f aca="false">IF(OR($B13="",$C13=""),"",$B13*$C13)</f>
        <v/>
      </c>
      <c r="E13" s="40" t="str">
        <f aca="false">IF(OR($B13="",$C13=""),"",$C13*($B13-$K$8)^2)</f>
        <v/>
      </c>
      <c r="G13" s="25"/>
      <c r="H13" s="40" t="str">
        <f aca="false">IF(OR($G13="",$C13=""),"",$G13*$C13)</f>
        <v/>
      </c>
      <c r="J13" s="21" t="s">
        <v>291</v>
      </c>
      <c r="K13" s="32" t="n">
        <f aca="false">SUMPRODUCT(C7:C26,(G7:G26-K12)^2)</f>
        <v>911.25</v>
      </c>
      <c r="L13" s="6"/>
    </row>
    <row r="14" customFormat="false" ht="15" hidden="false" customHeight="false" outlineLevel="0" collapsed="false">
      <c r="B14" s="25"/>
      <c r="C14" s="38"/>
      <c r="D14" s="40" t="str">
        <f aca="false">IF(OR($B14="",$C14=""),"",$B14*$C14)</f>
        <v/>
      </c>
      <c r="E14" s="40" t="str">
        <f aca="false">IF(OR($B14="",$C14=""),"",$C14*($B14-$K$8)^2)</f>
        <v/>
      </c>
      <c r="G14" s="25"/>
      <c r="H14" s="40" t="str">
        <f aca="false">IF(OR($G14="",$C14=""),"",$G14*$C14)</f>
        <v/>
      </c>
      <c r="J14" s="21" t="s">
        <v>292</v>
      </c>
      <c r="K14" s="32" t="n">
        <f aca="false">IFERROR(SQRT(K13),"")</f>
        <v>30.1869176962472</v>
      </c>
      <c r="L14" s="6"/>
    </row>
    <row r="15" customFormat="false" ht="15" hidden="false" customHeight="false" outlineLevel="0" collapsed="false">
      <c r="B15" s="25"/>
      <c r="C15" s="38"/>
      <c r="D15" s="40" t="str">
        <f aca="false">IF(OR($B15="",$C15=""),"",$B15*$C15)</f>
        <v/>
      </c>
      <c r="E15" s="40" t="str">
        <f aca="false">IF(OR($B15="",$C15=""),"",$C15*($B15-$K$8)^2)</f>
        <v/>
      </c>
      <c r="G15" s="25"/>
      <c r="H15" s="40" t="str">
        <f aca="false">IF(OR($G15="",$C15=""),"",$G15*$C15)</f>
        <v/>
      </c>
    </row>
    <row r="16" customFormat="false" ht="27.75" hidden="false" customHeight="true" outlineLevel="0" collapsed="false">
      <c r="B16" s="25"/>
      <c r="C16" s="38"/>
      <c r="D16" s="40" t="str">
        <f aca="false">IF(OR($B16="",$C16=""),"",$B16*$C16)</f>
        <v/>
      </c>
      <c r="E16" s="40" t="str">
        <f aca="false">IF(OR($B16="",$C16=""),"",$C16*($B16-$K$8)^2)</f>
        <v/>
      </c>
      <c r="G16" s="25"/>
      <c r="H16" s="40" t="str">
        <f aca="false">IF(OR($G16="",$C16=""),"",$G16*$C16)</f>
        <v/>
      </c>
      <c r="J16" s="42" t="str">
        <f aca="false">"E(X) = "&amp;TEXT(K8,"0.####")&amp;"      V(X) = "&amp;TEXT(K9,"0.####")&amp;"      stdev = "&amp;TEXT(K10,"0.####")</f>
        <v>E(X) = 1.8      V(X) = 0.96      stdev = 0.9798</v>
      </c>
      <c r="K16" s="42"/>
      <c r="L16" s="42"/>
    </row>
    <row r="17" customFormat="false" ht="15" hidden="false" customHeight="false" outlineLevel="0" collapsed="false">
      <c r="B17" s="25"/>
      <c r="C17" s="38"/>
      <c r="D17" s="40" t="str">
        <f aca="false">IF(OR($B17="",$C17=""),"",$B17*$C17)</f>
        <v/>
      </c>
      <c r="E17" s="40" t="str">
        <f aca="false">IF(OR($B17="",$C17=""),"",$C17*($B17-$K$8)^2)</f>
        <v/>
      </c>
      <c r="G17" s="25"/>
      <c r="H17" s="40" t="str">
        <f aca="false">IF(OR($G17="",$C17=""),"",$G17*$C17)</f>
        <v/>
      </c>
      <c r="J17" s="42"/>
      <c r="K17" s="42"/>
      <c r="L17" s="42"/>
    </row>
    <row r="18" customFormat="false" ht="15" hidden="false" customHeight="false" outlineLevel="0" collapsed="false">
      <c r="B18" s="25"/>
      <c r="C18" s="38"/>
      <c r="D18" s="40" t="str">
        <f aca="false">IF(OR($B18="",$C18=""),"",$B18*$C18)</f>
        <v/>
      </c>
      <c r="E18" s="40" t="str">
        <f aca="false">IF(OR($B18="",$C18=""),"",$C18*($B18-$K$8)^2)</f>
        <v/>
      </c>
      <c r="G18" s="25"/>
      <c r="H18" s="40" t="str">
        <f aca="false">IF(OR($G18="",$C18=""),"",$G18*$C18)</f>
        <v/>
      </c>
    </row>
    <row r="19" customFormat="false" ht="15" hidden="false" customHeight="false" outlineLevel="0" collapsed="false">
      <c r="B19" s="25"/>
      <c r="C19" s="38"/>
      <c r="D19" s="40" t="str">
        <f aca="false">IF(OR($B19="",$C19=""),"",$B19*$C19)</f>
        <v/>
      </c>
      <c r="E19" s="40" t="str">
        <f aca="false">IF(OR($B19="",$C19=""),"",$C19*($B19-$K$8)^2)</f>
        <v/>
      </c>
      <c r="G19" s="25"/>
      <c r="H19" s="40" t="str">
        <f aca="false">IF(OR($G19="",$C19=""),"",$G19*$C19)</f>
        <v/>
      </c>
    </row>
    <row r="20" customFormat="false" ht="15" hidden="false" customHeight="false" outlineLevel="0" collapsed="false">
      <c r="B20" s="25"/>
      <c r="C20" s="38"/>
      <c r="D20" s="40" t="str">
        <f aca="false">IF(OR($B20="",$C20=""),"",$B20*$C20)</f>
        <v/>
      </c>
      <c r="E20" s="40" t="str">
        <f aca="false">IF(OR($B20="",$C20=""),"",$C20*($B20-$K$8)^2)</f>
        <v/>
      </c>
      <c r="G20" s="25"/>
      <c r="H20" s="40" t="str">
        <f aca="false">IF(OR($G20="",$C20=""),"",$G20*$C20)</f>
        <v/>
      </c>
    </row>
    <row r="21" customFormat="false" ht="15" hidden="false" customHeight="false" outlineLevel="0" collapsed="false">
      <c r="B21" s="25"/>
      <c r="C21" s="38"/>
      <c r="D21" s="40" t="str">
        <f aca="false">IF(OR($B21="",$C21=""),"",$B21*$C21)</f>
        <v/>
      </c>
      <c r="E21" s="40" t="str">
        <f aca="false">IF(OR($B21="",$C21=""),"",$C21*($B21-$K$8)^2)</f>
        <v/>
      </c>
      <c r="G21" s="25"/>
      <c r="H21" s="40" t="str">
        <f aca="false">IF(OR($G21="",$C21=""),"",$G21*$C21)</f>
        <v/>
      </c>
    </row>
    <row r="22" customFormat="false" ht="15" hidden="false" customHeight="false" outlineLevel="0" collapsed="false">
      <c r="B22" s="25"/>
      <c r="C22" s="38"/>
      <c r="D22" s="40" t="str">
        <f aca="false">IF(OR($B22="",$C22=""),"",$B22*$C22)</f>
        <v/>
      </c>
      <c r="E22" s="40" t="str">
        <f aca="false">IF(OR($B22="",$C22=""),"",$C22*($B22-$K$8)^2)</f>
        <v/>
      </c>
      <c r="G22" s="25"/>
      <c r="H22" s="40" t="str">
        <f aca="false">IF(OR($G22="",$C22=""),"",$G22*$C22)</f>
        <v/>
      </c>
    </row>
    <row r="23" customFormat="false" ht="15" hidden="false" customHeight="false" outlineLevel="0" collapsed="false">
      <c r="B23" s="25"/>
      <c r="C23" s="38"/>
      <c r="D23" s="40" t="str">
        <f aca="false">IF(OR($B23="",$C23=""),"",$B23*$C23)</f>
        <v/>
      </c>
      <c r="E23" s="40" t="str">
        <f aca="false">IF(OR($B23="",$C23=""),"",$C23*($B23-$K$8)^2)</f>
        <v/>
      </c>
      <c r="G23" s="25"/>
      <c r="H23" s="40" t="str">
        <f aca="false">IF(OR($G23="",$C23=""),"",$G23*$C23)</f>
        <v/>
      </c>
    </row>
    <row r="24" customFormat="false" ht="15" hidden="false" customHeight="false" outlineLevel="0" collapsed="false">
      <c r="B24" s="25"/>
      <c r="C24" s="38"/>
      <c r="D24" s="40" t="str">
        <f aca="false">IF(OR($B24="",$C24=""),"",$B24*$C24)</f>
        <v/>
      </c>
      <c r="E24" s="40" t="str">
        <f aca="false">IF(OR($B24="",$C24=""),"",$C24*($B24-$K$8)^2)</f>
        <v/>
      </c>
      <c r="G24" s="25"/>
      <c r="H24" s="40" t="str">
        <f aca="false">IF(OR($G24="",$C24=""),"",$G24*$C24)</f>
        <v/>
      </c>
    </row>
    <row r="25" customFormat="false" ht="15" hidden="false" customHeight="false" outlineLevel="0" collapsed="false">
      <c r="B25" s="25"/>
      <c r="C25" s="38"/>
      <c r="D25" s="40" t="str">
        <f aca="false">IF(OR($B25="",$C25=""),"",$B25*$C25)</f>
        <v/>
      </c>
      <c r="E25" s="40" t="str">
        <f aca="false">IF(OR($B25="",$C25=""),"",$C25*($B25-$K$8)^2)</f>
        <v/>
      </c>
      <c r="G25" s="25"/>
      <c r="H25" s="40" t="str">
        <f aca="false">IF(OR($G25="",$C25=""),"",$G25*$C25)</f>
        <v/>
      </c>
    </row>
    <row r="26" customFormat="false" ht="15" hidden="false" customHeight="false" outlineLevel="0" collapsed="false">
      <c r="B26" s="25"/>
      <c r="C26" s="38"/>
      <c r="D26" s="40" t="str">
        <f aca="false">IF(OR($B26="",$C26=""),"",$B26*$C26)</f>
        <v/>
      </c>
      <c r="E26" s="40" t="str">
        <f aca="false">IF(OR($B26="",$C26=""),"",$C26*($B26-$K$8)^2)</f>
        <v/>
      </c>
      <c r="G26" s="25"/>
      <c r="H26" s="40" t="str">
        <f aca="false">IF(OR($G26="",$C26=""),"",$G26*$C26)</f>
        <v/>
      </c>
    </row>
    <row r="27" customFormat="false" ht="15" hidden="false" customHeight="false" outlineLevel="0" collapsed="false">
      <c r="B27" s="43" t="s">
        <v>293</v>
      </c>
      <c r="C27" s="44" t="n">
        <f aca="false">SUM(C7:C26)</f>
        <v>1</v>
      </c>
      <c r="D27" s="44" t="n">
        <f aca="false">SUM(D7:D26)</f>
        <v>1.8</v>
      </c>
      <c r="E27" s="44" t="n">
        <f aca="false">SUM(E7:E26)</f>
        <v>0.96</v>
      </c>
      <c r="H27" s="44" t="n">
        <f aca="false">SUM(H7:H26)</f>
        <v>45</v>
      </c>
    </row>
    <row r="30" customFormat="false" ht="18.75" hidden="false" customHeight="true" outlineLevel="0" collapsed="false">
      <c r="A30" s="15" t="s">
        <v>294</v>
      </c>
      <c r="B30" s="15"/>
      <c r="C30" s="15"/>
      <c r="D30" s="15"/>
      <c r="E30" s="15"/>
    </row>
    <row r="31" customFormat="false" ht="15" hidden="false" customHeight="false" outlineLevel="0" collapsed="false">
      <c r="A31" s="6" t="s">
        <v>295</v>
      </c>
    </row>
    <row r="32" customFormat="false" ht="15" hidden="false" customHeight="false" outlineLevel="0" collapsed="false">
      <c r="A32" s="21" t="s">
        <v>296</v>
      </c>
      <c r="B32" s="45" t="n">
        <v>-50</v>
      </c>
      <c r="C32" s="6" t="s">
        <v>297</v>
      </c>
    </row>
    <row r="33" customFormat="false" ht="15" hidden="false" customHeight="false" outlineLevel="0" collapsed="false">
      <c r="A33" s="21" t="s">
        <v>298</v>
      </c>
      <c r="B33" s="45" t="n">
        <v>200</v>
      </c>
      <c r="C33" s="6" t="s">
        <v>299</v>
      </c>
    </row>
    <row r="34" customFormat="false" ht="15" hidden="false" customHeight="false" outlineLevel="0" collapsed="false">
      <c r="A34" s="35" t="s">
        <v>232</v>
      </c>
      <c r="B34" s="36" t="s">
        <v>300</v>
      </c>
      <c r="C34" s="32" t="n">
        <f aca="false">IFERROR(B32+B33*K8,"")</f>
        <v>310</v>
      </c>
    </row>
    <row r="35" customFormat="false" ht="15" hidden="false" customHeight="false" outlineLevel="0" collapsed="false">
      <c r="A35" s="35" t="s">
        <v>235</v>
      </c>
      <c r="B35" s="36" t="s">
        <v>301</v>
      </c>
      <c r="C35" s="32" t="n">
        <f aca="false">IFERROR(B33^2*K9,"")</f>
        <v>38400</v>
      </c>
    </row>
    <row r="36" customFormat="false" ht="15" hidden="false" customHeight="false" outlineLevel="0" collapsed="false">
      <c r="A36" s="35" t="s">
        <v>238</v>
      </c>
      <c r="B36" s="36" t="s">
        <v>302</v>
      </c>
      <c r="C36" s="32" t="n">
        <f aca="false">IFERROR(ABS(B33)*K10,"")</f>
        <v>195.959179422654</v>
      </c>
    </row>
    <row r="38" customFormat="false" ht="30" hidden="false" customHeight="true" outlineLevel="0" collapsed="false">
      <c r="A38" s="28" t="s">
        <v>241</v>
      </c>
      <c r="B38" s="11" t="str">
        <f aca="false">"E(Y) = "&amp;TEXT(C34,"0.####")&amp;"     stdev(Y) = "&amp;TEXT(C36,"0.####")&amp;"      (note: a shifts the mean but never changes the spread)"</f>
        <v>E(Y) = 310     stdev(Y) = 195.9592      (note: a shifts the mean but never changes the spread)</v>
      </c>
      <c r="C38" s="11"/>
      <c r="D38" s="11"/>
      <c r="E38" s="11"/>
    </row>
    <row r="39" customFormat="false" ht="24" hidden="false" customHeight="true" outlineLevel="0" collapsed="false">
      <c r="A39" s="29" t="s">
        <v>303</v>
      </c>
      <c r="B39" s="29"/>
      <c r="C39" s="29"/>
      <c r="D39" s="29"/>
      <c r="E39" s="29"/>
    </row>
    <row r="40" customFormat="false" ht="15" hidden="false" customHeight="false" outlineLevel="0" collapsed="false">
      <c r="A40" s="6" t="s">
        <v>304</v>
      </c>
    </row>
  </sheetData>
  <mergeCells count="10">
    <mergeCell ref="A1:L1"/>
    <mergeCell ref="A2:L2"/>
    <mergeCell ref="A4:L4"/>
    <mergeCell ref="G5:H5"/>
    <mergeCell ref="J5:L5"/>
    <mergeCell ref="J11:L11"/>
    <mergeCell ref="J16:L17"/>
    <mergeCell ref="A30:E30"/>
    <mergeCell ref="B38:E38"/>
    <mergeCell ref="A39:E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18"/>
    <col collapsed="false" customWidth="true" hidden="false" outlineLevel="0" max="4" min="4" style="0" width="8"/>
    <col collapsed="false" customWidth="true" hidden="false" outlineLevel="0" max="5" min="5" style="0" width="16"/>
    <col collapsed="false" customWidth="true" hidden="false" outlineLevel="0" max="8" min="6" style="0" width="12"/>
    <col collapsed="false" customWidth="true" hidden="false" outlineLevel="0" max="10" min="9" style="0" width="14"/>
    <col collapsed="false" customWidth="true" hidden="false" outlineLevel="0" max="12" min="11" style="0" width="16"/>
  </cols>
  <sheetData>
    <row r="1" customFormat="false" ht="27.75" hidden="false" customHeight="true" outlineLevel="0" collapsed="false">
      <c r="A1" s="1" t="s">
        <v>305</v>
      </c>
      <c r="B1" s="1"/>
      <c r="C1" s="1"/>
      <c r="D1" s="1"/>
      <c r="E1" s="1"/>
      <c r="F1" s="1"/>
      <c r="G1" s="1"/>
      <c r="H1" s="1"/>
      <c r="I1" s="1"/>
      <c r="J1" s="1"/>
      <c r="K1" s="1"/>
      <c r="L1" s="1"/>
    </row>
    <row r="2" customFormat="false" ht="15" hidden="false" customHeight="true" outlineLevel="0" collapsed="false">
      <c r="A2" s="2" t="s">
        <v>306</v>
      </c>
      <c r="B2" s="2"/>
      <c r="C2" s="2"/>
      <c r="D2" s="2"/>
      <c r="E2" s="2"/>
      <c r="F2" s="2"/>
      <c r="G2" s="2"/>
      <c r="H2" s="2"/>
      <c r="I2" s="2"/>
      <c r="J2" s="2"/>
      <c r="K2" s="2"/>
      <c r="L2" s="2"/>
    </row>
    <row r="4" customFormat="false" ht="18.75" hidden="false" customHeight="true" outlineLevel="0" collapsed="false">
      <c r="A4" s="15" t="s">
        <v>307</v>
      </c>
      <c r="B4" s="15"/>
      <c r="C4" s="15"/>
      <c r="E4" s="15" t="s">
        <v>308</v>
      </c>
      <c r="F4" s="15"/>
      <c r="G4" s="15"/>
      <c r="H4" s="15"/>
      <c r="I4" s="15"/>
      <c r="J4" s="15"/>
      <c r="K4" s="15"/>
      <c r="L4" s="15"/>
    </row>
    <row r="5" customFormat="false" ht="15" hidden="false" customHeight="false" outlineLevel="0" collapsed="false">
      <c r="A5" s="6" t="s">
        <v>309</v>
      </c>
      <c r="E5" s="14" t="s">
        <v>310</v>
      </c>
      <c r="F5" s="14"/>
      <c r="G5" s="14"/>
      <c r="H5" s="14"/>
      <c r="I5" s="14"/>
      <c r="J5" s="14"/>
      <c r="K5" s="14"/>
      <c r="L5" s="14"/>
    </row>
    <row r="6" customFormat="false" ht="15" hidden="false" customHeight="false" outlineLevel="0" collapsed="false">
      <c r="A6" s="21" t="s">
        <v>311</v>
      </c>
      <c r="B6" s="38" t="n">
        <v>0.0002</v>
      </c>
      <c r="C6" s="6" t="s">
        <v>312</v>
      </c>
      <c r="E6" s="19" t="s">
        <v>313</v>
      </c>
      <c r="F6" s="19" t="s">
        <v>314</v>
      </c>
      <c r="G6" s="19" t="s">
        <v>315</v>
      </c>
      <c r="H6" s="19" t="s">
        <v>316</v>
      </c>
      <c r="I6" s="19" t="s">
        <v>317</v>
      </c>
      <c r="J6" s="19" t="s">
        <v>318</v>
      </c>
      <c r="K6" s="19" t="s">
        <v>319</v>
      </c>
      <c r="L6" s="19" t="s">
        <v>320</v>
      </c>
    </row>
    <row r="7" customFormat="false" ht="15" hidden="false" customHeight="false" outlineLevel="0" collapsed="false">
      <c r="A7" s="21" t="s">
        <v>321</v>
      </c>
      <c r="B7" s="45" t="n">
        <v>25</v>
      </c>
      <c r="C7" s="6" t="s">
        <v>322</v>
      </c>
      <c r="E7" s="45" t="s">
        <v>323</v>
      </c>
      <c r="F7" s="38" t="n">
        <v>0.6</v>
      </c>
      <c r="G7" s="38" t="n">
        <v>0.6</v>
      </c>
      <c r="H7" s="38"/>
      <c r="I7" s="40" t="n">
        <f aca="false">IF(COUNT(F7:H7)=0,"",PRODUCT(F7:H7))</f>
        <v>0.36</v>
      </c>
      <c r="J7" s="38" t="n">
        <v>1.21</v>
      </c>
      <c r="K7" s="40" t="n">
        <f aca="false">IF(OR(I7="",J7=""),"",I7*J7)</f>
        <v>0.4356</v>
      </c>
      <c r="L7" s="40" t="n">
        <f aca="false">IF(OR(I7="",J7=""),"",I7*(J7-$K$24)^2)</f>
        <v>0.0103550976</v>
      </c>
    </row>
    <row r="8" customFormat="false" ht="15" hidden="false" customHeight="false" outlineLevel="0" collapsed="false">
      <c r="A8" s="35" t="s">
        <v>232</v>
      </c>
      <c r="B8" s="36" t="s">
        <v>324</v>
      </c>
      <c r="C8" s="32" t="n">
        <f aca="false">IFERROR((1-B6)^B7,"")</f>
        <v>0.995011981620224</v>
      </c>
      <c r="E8" s="45" t="s">
        <v>325</v>
      </c>
      <c r="F8" s="38" t="n">
        <v>0.6</v>
      </c>
      <c r="G8" s="38" t="n">
        <v>0.4</v>
      </c>
      <c r="H8" s="38"/>
      <c r="I8" s="40" t="n">
        <f aca="false">IF(COUNT(F8:H8)=0,"",PRODUCT(F8:H8))</f>
        <v>0.24</v>
      </c>
      <c r="J8" s="38" t="n">
        <v>0.99</v>
      </c>
      <c r="K8" s="40" t="n">
        <f aca="false">IF(OR(I8="",J8=""),"",I8*J8)</f>
        <v>0.2376</v>
      </c>
      <c r="L8" s="40" t="n">
        <f aca="false">IF(OR(I8="",J8=""),"",I8*(J8-$K$24)^2)</f>
        <v>0.0006096384</v>
      </c>
    </row>
    <row r="9" customFormat="false" ht="15" hidden="false" customHeight="false" outlineLevel="0" collapsed="false">
      <c r="A9" s="35" t="s">
        <v>235</v>
      </c>
      <c r="B9" s="36" t="s">
        <v>326</v>
      </c>
      <c r="C9" s="32" t="n">
        <f aca="false">IFERROR(1-(1-B6)^B7,"")</f>
        <v>0.00498801837977647</v>
      </c>
      <c r="E9" s="45" t="s">
        <v>327</v>
      </c>
      <c r="F9" s="38" t="n">
        <v>0.4</v>
      </c>
      <c r="G9" s="38" t="n">
        <v>0.6</v>
      </c>
      <c r="H9" s="38"/>
      <c r="I9" s="40" t="n">
        <f aca="false">IF(COUNT(F9:H9)=0,"",PRODUCT(F9:H9))</f>
        <v>0.24</v>
      </c>
      <c r="J9" s="38" t="n">
        <v>0.99</v>
      </c>
      <c r="K9" s="40" t="n">
        <f aca="false">IF(OR(I9="",J9=""),"",I9*J9)</f>
        <v>0.2376</v>
      </c>
      <c r="L9" s="40" t="n">
        <f aca="false">IF(OR(I9="",J9=""),"",I9*(J9-$K$24)^2)</f>
        <v>0.0006096384</v>
      </c>
    </row>
    <row r="10" customFormat="false" ht="15" hidden="false" customHeight="false" outlineLevel="0" collapsed="false">
      <c r="E10" s="45" t="s">
        <v>328</v>
      </c>
      <c r="F10" s="38" t="n">
        <v>0.4</v>
      </c>
      <c r="G10" s="38" t="n">
        <v>0.4</v>
      </c>
      <c r="H10" s="38"/>
      <c r="I10" s="40" t="n">
        <f aca="false">IF(COUNT(F10:H10)=0,"",PRODUCT(F10:H10))</f>
        <v>0.16</v>
      </c>
      <c r="J10" s="38" t="n">
        <v>0.81</v>
      </c>
      <c r="K10" s="40" t="n">
        <f aca="false">IF(OR(I10="",J10=""),"",I10*J10)</f>
        <v>0.1296</v>
      </c>
      <c r="L10" s="40" t="n">
        <f aca="false">IF(OR(I10="",J10=""),"",I10*(J10-$K$24)^2)</f>
        <v>0.0084934656</v>
      </c>
    </row>
    <row r="11" customFormat="false" ht="30" hidden="false" customHeight="true" outlineLevel="0" collapsed="false">
      <c r="A11" s="28" t="s">
        <v>241</v>
      </c>
      <c r="B11" s="11" t="str">
        <f aca="false">"P(at least one in "&amp;TEXT(B7,"0")&amp;" periods) = 1 − (1 − "&amp;TEXT(B6,"0.######")&amp;")^"&amp;TEXT(B7,"0")&amp;" = "&amp;TEXT(C9,"0.000000")</f>
        <v>P(at least one in 25 periods) = 1 − (1 − 0.0002)^25 = 0.004988</v>
      </c>
      <c r="C11" s="11"/>
      <c r="E11" s="45"/>
      <c r="F11" s="38"/>
      <c r="G11" s="38"/>
      <c r="H11" s="38"/>
      <c r="I11" s="40" t="str">
        <f aca="false">IF(COUNT(F11:H11)=0,"",PRODUCT(F11:H11))</f>
        <v/>
      </c>
      <c r="J11" s="38"/>
      <c r="K11" s="40" t="str">
        <f aca="false">IF(OR(I11="",J11=""),"",I11*J11)</f>
        <v/>
      </c>
      <c r="L11" s="40" t="str">
        <f aca="false">IF(OR(I11="",J11=""),"",I11*(J11-$K$24)^2)</f>
        <v/>
      </c>
    </row>
    <row r="12" customFormat="false" ht="15" hidden="false" customHeight="false" outlineLevel="0" collapsed="false">
      <c r="A12" s="6" t="s">
        <v>329</v>
      </c>
      <c r="E12" s="45"/>
      <c r="F12" s="38"/>
      <c r="G12" s="38"/>
      <c r="H12" s="38"/>
      <c r="I12" s="40" t="str">
        <f aca="false">IF(COUNT(F12:H12)=0,"",PRODUCT(F12:H12))</f>
        <v/>
      </c>
      <c r="J12" s="38"/>
      <c r="K12" s="40" t="str">
        <f aca="false">IF(OR(I12="",J12=""),"",I12*J12)</f>
        <v/>
      </c>
      <c r="L12" s="40" t="str">
        <f aca="false">IF(OR(I12="",J12=""),"",I12*(J12-$K$24)^2)</f>
        <v/>
      </c>
    </row>
    <row r="13" customFormat="false" ht="15" hidden="false" customHeight="false" outlineLevel="0" collapsed="false">
      <c r="E13" s="45"/>
      <c r="F13" s="38"/>
      <c r="G13" s="38"/>
      <c r="H13" s="38"/>
      <c r="I13" s="40" t="str">
        <f aca="false">IF(COUNT(F13:H13)=0,"",PRODUCT(F13:H13))</f>
        <v/>
      </c>
      <c r="J13" s="38"/>
      <c r="K13" s="40" t="str">
        <f aca="false">IF(OR(I13="",J13=""),"",I13*J13)</f>
        <v/>
      </c>
      <c r="L13" s="40" t="str">
        <f aca="false">IF(OR(I13="",J13=""),"",I13*(J13-$K$24)^2)</f>
        <v/>
      </c>
    </row>
    <row r="14" customFormat="false" ht="18.75" hidden="false" customHeight="true" outlineLevel="0" collapsed="false">
      <c r="A14" s="15" t="s">
        <v>330</v>
      </c>
      <c r="B14" s="15"/>
      <c r="C14" s="15"/>
      <c r="E14" s="45"/>
      <c r="F14" s="38"/>
      <c r="G14" s="38"/>
      <c r="H14" s="38"/>
      <c r="I14" s="40" t="str">
        <f aca="false">IF(COUNT(F14:H14)=0,"",PRODUCT(F14:H14))</f>
        <v/>
      </c>
      <c r="J14" s="38"/>
      <c r="K14" s="40" t="str">
        <f aca="false">IF(OR(I14="",J14=""),"",I14*J14)</f>
        <v/>
      </c>
      <c r="L14" s="40" t="str">
        <f aca="false">IF(OR(I14="",J14=""),"",I14*(J14-$K$24)^2)</f>
        <v/>
      </c>
    </row>
    <row r="15" customFormat="false" ht="15" hidden="false" customHeight="false" outlineLevel="0" collapsed="false">
      <c r="A15" s="6" t="s">
        <v>331</v>
      </c>
      <c r="E15" s="45"/>
      <c r="F15" s="38"/>
      <c r="G15" s="38"/>
      <c r="H15" s="38"/>
      <c r="I15" s="40" t="str">
        <f aca="false">IF(COUNT(F15:H15)=0,"",PRODUCT(F15:H15))</f>
        <v/>
      </c>
      <c r="J15" s="38"/>
      <c r="K15" s="40" t="str">
        <f aca="false">IF(OR(I15="",J15=""),"",I15*J15)</f>
        <v/>
      </c>
      <c r="L15" s="40" t="str">
        <f aca="false">IF(OR(I15="",J15=""),"",I15*(J15-$K$24)^2)</f>
        <v/>
      </c>
    </row>
    <row r="16" customFormat="false" ht="15" hidden="false" customHeight="false" outlineLevel="0" collapsed="false">
      <c r="A16" s="21" t="s">
        <v>332</v>
      </c>
      <c r="B16" s="38" t="n">
        <v>0.006</v>
      </c>
      <c r="C16" s="6" t="s">
        <v>333</v>
      </c>
      <c r="E16" s="45"/>
      <c r="F16" s="38"/>
      <c r="G16" s="38"/>
      <c r="H16" s="38"/>
      <c r="I16" s="40" t="str">
        <f aca="false">IF(COUNT(F16:H16)=0,"",PRODUCT(F16:H16))</f>
        <v/>
      </c>
      <c r="J16" s="38"/>
      <c r="K16" s="40" t="str">
        <f aca="false">IF(OR(I16="",J16=""),"",I16*J16)</f>
        <v/>
      </c>
      <c r="L16" s="40" t="str">
        <f aca="false">IF(OR(I16="",J16=""),"",I16*(J16-$K$24)^2)</f>
        <v/>
      </c>
    </row>
    <row r="17" customFormat="false" ht="15" hidden="false" customHeight="false" outlineLevel="0" collapsed="false">
      <c r="A17" s="21" t="s">
        <v>334</v>
      </c>
      <c r="B17" s="38" t="n">
        <v>0.999</v>
      </c>
      <c r="C17" s="6" t="s">
        <v>335</v>
      </c>
      <c r="E17" s="45"/>
      <c r="F17" s="38"/>
      <c r="G17" s="38"/>
      <c r="H17" s="38"/>
      <c r="I17" s="40" t="str">
        <f aca="false">IF(COUNT(F17:H17)=0,"",PRODUCT(F17:H17))</f>
        <v/>
      </c>
      <c r="J17" s="38"/>
      <c r="K17" s="40" t="str">
        <f aca="false">IF(OR(I17="",J17=""),"",I17*J17)</f>
        <v/>
      </c>
      <c r="L17" s="40" t="str">
        <f aca="false">IF(OR(I17="",J17=""),"",I17*(J17-$K$24)^2)</f>
        <v/>
      </c>
    </row>
    <row r="18" customFormat="false" ht="15" hidden="false" customHeight="false" outlineLevel="0" collapsed="false">
      <c r="A18" s="21" t="s">
        <v>336</v>
      </c>
      <c r="B18" s="38" t="n">
        <v>0.01</v>
      </c>
      <c r="C18" s="6" t="s">
        <v>337</v>
      </c>
      <c r="E18" s="45"/>
      <c r="F18" s="38"/>
      <c r="G18" s="38"/>
      <c r="H18" s="38"/>
      <c r="I18" s="40" t="str">
        <f aca="false">IF(COUNT(F18:H18)=0,"",PRODUCT(F18:H18))</f>
        <v/>
      </c>
      <c r="J18" s="38"/>
      <c r="K18" s="40" t="str">
        <f aca="false">IF(OR(I18="",J18=""),"",I18*J18)</f>
        <v/>
      </c>
      <c r="L18" s="40" t="str">
        <f aca="false">IF(OR(I18="",J18=""),"",I18*(J18-$K$24)^2)</f>
        <v/>
      </c>
    </row>
    <row r="19" customFormat="false" ht="15" hidden="false" customHeight="false" outlineLevel="0" collapsed="false">
      <c r="A19" s="35" t="s">
        <v>232</v>
      </c>
      <c r="B19" s="36" t="s">
        <v>338</v>
      </c>
      <c r="C19" s="32" t="n">
        <f aca="false">IFERROR(B16*B17,"")</f>
        <v>0.005994</v>
      </c>
      <c r="E19" s="45"/>
      <c r="F19" s="38"/>
      <c r="G19" s="38"/>
      <c r="H19" s="38"/>
      <c r="I19" s="40" t="str">
        <f aca="false">IF(COUNT(F19:H19)=0,"",PRODUCT(F19:H19))</f>
        <v/>
      </c>
      <c r="J19" s="38"/>
      <c r="K19" s="40" t="str">
        <f aca="false">IF(OR(I19="",J19=""),"",I19*J19)</f>
        <v/>
      </c>
      <c r="L19" s="40" t="str">
        <f aca="false">IF(OR(I19="",J19=""),"",I19*(J19-$K$24)^2)</f>
        <v/>
      </c>
    </row>
    <row r="20" customFormat="false" ht="15" hidden="false" customHeight="false" outlineLevel="0" collapsed="false">
      <c r="A20" s="35" t="s">
        <v>235</v>
      </c>
      <c r="B20" s="36" t="s">
        <v>339</v>
      </c>
      <c r="C20" s="32" t="n">
        <f aca="false">IFERROR((1-B16)*B18,"")</f>
        <v>0.00994</v>
      </c>
      <c r="E20" s="45"/>
      <c r="F20" s="38"/>
      <c r="G20" s="38"/>
      <c r="H20" s="38"/>
      <c r="I20" s="40" t="str">
        <f aca="false">IF(COUNT(F20:H20)=0,"",PRODUCT(F20:H20))</f>
        <v/>
      </c>
      <c r="J20" s="38"/>
      <c r="K20" s="40" t="str">
        <f aca="false">IF(OR(I20="",J20=""),"",I20*J20)</f>
        <v/>
      </c>
      <c r="L20" s="40" t="str">
        <f aca="false">IF(OR(I20="",J20=""),"",I20*(J20-$K$24)^2)</f>
        <v/>
      </c>
    </row>
    <row r="21" customFormat="false" ht="15" hidden="false" customHeight="false" outlineLevel="0" collapsed="false">
      <c r="A21" s="35" t="s">
        <v>238</v>
      </c>
      <c r="B21" s="36" t="s">
        <v>340</v>
      </c>
      <c r="C21" s="32" t="n">
        <f aca="false">IFERROR(C19+C20,"")</f>
        <v>0.015934</v>
      </c>
      <c r="E21" s="45"/>
      <c r="F21" s="38"/>
      <c r="G21" s="38"/>
      <c r="H21" s="38"/>
      <c r="I21" s="40" t="str">
        <f aca="false">IF(COUNT(F21:H21)=0,"",PRODUCT(F21:H21))</f>
        <v/>
      </c>
      <c r="J21" s="38"/>
      <c r="K21" s="40" t="str">
        <f aca="false">IF(OR(I21="",J21=""),"",I21*J21)</f>
        <v/>
      </c>
      <c r="L21" s="40" t="str">
        <f aca="false">IF(OR(I21="",J21=""),"",I21*(J21-$K$24)^2)</f>
        <v/>
      </c>
    </row>
    <row r="22" customFormat="false" ht="15" hidden="false" customHeight="false" outlineLevel="0" collapsed="false">
      <c r="A22" s="35" t="s">
        <v>341</v>
      </c>
      <c r="B22" s="36" t="s">
        <v>342</v>
      </c>
      <c r="C22" s="32" t="n">
        <f aca="false">IFERROR(C19/C21,"")</f>
        <v>0.376176729007155</v>
      </c>
      <c r="E22" s="45"/>
      <c r="F22" s="38"/>
      <c r="G22" s="38"/>
      <c r="H22" s="38"/>
      <c r="I22" s="40" t="str">
        <f aca="false">IF(COUNT(F22:H22)=0,"",PRODUCT(F22:H22))</f>
        <v/>
      </c>
      <c r="J22" s="38"/>
      <c r="K22" s="40" t="str">
        <f aca="false">IF(OR(I22="",J22=""),"",I22*J22)</f>
        <v/>
      </c>
      <c r="L22" s="40" t="str">
        <f aca="false">IF(OR(I22="",J22=""),"",I22*(J22-$K$24)^2)</f>
        <v/>
      </c>
    </row>
    <row r="23" customFormat="false" ht="15" hidden="false" customHeight="false" outlineLevel="0" collapsed="false">
      <c r="E23" s="43" t="s">
        <v>293</v>
      </c>
      <c r="I23" s="44" t="n">
        <f aca="false">SUM(I7:I22)</f>
        <v>1</v>
      </c>
      <c r="K23" s="44" t="n">
        <f aca="false">SUM(K7:K22)</f>
        <v>1.0404</v>
      </c>
      <c r="L23" s="44" t="n">
        <f aca="false">SUM(L7:L22)</f>
        <v>0.02006784</v>
      </c>
    </row>
    <row r="24" customFormat="false" ht="30" hidden="false" customHeight="true" outlineLevel="0" collapsed="false">
      <c r="A24" s="28" t="s">
        <v>241</v>
      </c>
      <c r="B24" s="11" t="str">
        <f aca="false">"Of everyone who tests positive, only "&amp;TEXT(C22,"0.0%")&amp;" actually have it. The other "&amp;TEXT(1-C22,"0.0%")&amp;" are false alarms — because the healthy group is so much larger."</f>
        <v>Of everyone who tests positive, only 37.6% actually have it. The other 62.4% are false alarms — because the healthy group is so much larger.</v>
      </c>
      <c r="C24" s="11"/>
      <c r="I24" s="43" t="s">
        <v>343</v>
      </c>
      <c r="K24" s="32" t="n">
        <f aca="false">K23</f>
        <v>1.0404</v>
      </c>
    </row>
    <row r="25" customFormat="false" ht="15" hidden="false" customHeight="false" outlineLevel="0" collapsed="false">
      <c r="A25" s="6" t="s">
        <v>344</v>
      </c>
      <c r="I25" s="43" t="s">
        <v>345</v>
      </c>
      <c r="K25" s="32" t="n">
        <f aca="false">L23</f>
        <v>0.02006784</v>
      </c>
    </row>
    <row r="26" customFormat="false" ht="15" hidden="false" customHeight="false" outlineLevel="0" collapsed="false">
      <c r="I26" s="43" t="s">
        <v>346</v>
      </c>
      <c r="K26" s="32" t="n">
        <f aca="false">IFERROR(SQRT(K25),"")</f>
        <v>0.141661003808388</v>
      </c>
    </row>
    <row r="28" customFormat="false" ht="15" hidden="false" customHeight="false" outlineLevel="0" collapsed="false">
      <c r="I28" s="42" t="str">
        <f aca="false">IF(ABS(I23-1)&gt;0.0000001,"STOP — your path probabilities add to "&amp;TEXT(I23,"0.000000")&amp;", not 1.","Paths add to 1.   E(X) = "&amp;TEXT(K24,"0.####")&amp;"     stdev = "&amp;TEXT(K26,"0.####"))</f>
        <v>Paths add to 1.   E(X) = 1.0404     stdev = 0.1417</v>
      </c>
      <c r="J28" s="42"/>
      <c r="K28" s="42"/>
      <c r="L28" s="42"/>
    </row>
    <row r="29" customFormat="false" ht="15" hidden="false" customHeight="false" outlineLevel="0" collapsed="false">
      <c r="I29" s="42"/>
      <c r="J29" s="42"/>
      <c r="K29" s="42"/>
      <c r="L29" s="42"/>
    </row>
    <row r="31" customFormat="false" ht="15" hidden="false" customHeight="false" outlineLevel="0" collapsed="false">
      <c r="I31" s="6" t="s">
        <v>347</v>
      </c>
    </row>
  </sheetData>
  <mergeCells count="9">
    <mergeCell ref="A1:L1"/>
    <mergeCell ref="A2:L2"/>
    <mergeCell ref="A4:C4"/>
    <mergeCell ref="E4:L4"/>
    <mergeCell ref="E5:L5"/>
    <mergeCell ref="B11:C11"/>
    <mergeCell ref="A14:C14"/>
    <mergeCell ref="B24:C24"/>
    <mergeCell ref="I28:L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3" min="3" style="0" width="18"/>
    <col collapsed="false" customWidth="true" hidden="false" outlineLevel="0" max="4" min="4" style="0" width="8"/>
    <col collapsed="false" customWidth="true" hidden="false" outlineLevel="0" max="5" min="5" style="0" width="40"/>
    <col collapsed="false" customWidth="true" hidden="false" outlineLevel="0" max="6" min="6" style="0" width="18"/>
    <col collapsed="false" customWidth="true" hidden="false" outlineLevel="0" max="7" min="7" style="0" width="34"/>
  </cols>
  <sheetData>
    <row r="1" customFormat="false" ht="27.75" hidden="false" customHeight="true" outlineLevel="0" collapsed="false">
      <c r="A1" s="1" t="s">
        <v>348</v>
      </c>
      <c r="B1" s="1"/>
      <c r="C1" s="1"/>
      <c r="D1" s="1"/>
      <c r="E1" s="1"/>
      <c r="F1" s="1"/>
      <c r="G1" s="1"/>
    </row>
    <row r="2" customFormat="false" ht="15" hidden="false" customHeight="true" outlineLevel="0" collapsed="false">
      <c r="A2" s="2" t="s">
        <v>349</v>
      </c>
      <c r="B2" s="2"/>
      <c r="C2" s="2"/>
      <c r="D2" s="2"/>
      <c r="E2" s="2"/>
      <c r="F2" s="2"/>
      <c r="G2" s="2"/>
    </row>
    <row r="4" customFormat="false" ht="18.75" hidden="false" customHeight="true" outlineLevel="0" collapsed="false">
      <c r="A4" s="15" t="s">
        <v>350</v>
      </c>
      <c r="B4" s="15"/>
      <c r="C4" s="15"/>
      <c r="E4" s="15" t="s">
        <v>351</v>
      </c>
      <c r="F4" s="15"/>
      <c r="G4" s="15"/>
    </row>
    <row r="5" customFormat="false" ht="15" hidden="false" customHeight="false" outlineLevel="0" collapsed="false">
      <c r="A5" s="21" t="s">
        <v>352</v>
      </c>
      <c r="B5" s="45" t="s">
        <v>232</v>
      </c>
      <c r="C5" s="6" t="s">
        <v>353</v>
      </c>
      <c r="E5" s="46" t="s">
        <v>354</v>
      </c>
      <c r="F5" s="39" t="s">
        <v>355</v>
      </c>
      <c r="G5" s="39" t="s">
        <v>356</v>
      </c>
    </row>
    <row r="6" customFormat="false" ht="15" hidden="false" customHeight="false" outlineLevel="0" collapsed="false">
      <c r="A6" s="21" t="s">
        <v>357</v>
      </c>
      <c r="B6" s="45" t="s">
        <v>232</v>
      </c>
      <c r="E6" s="47" t="s">
        <v>358</v>
      </c>
      <c r="F6" s="48" t="s">
        <v>232</v>
      </c>
      <c r="G6" s="48" t="s">
        <v>232</v>
      </c>
    </row>
    <row r="7" customFormat="false" ht="15" hidden="false" customHeight="false" outlineLevel="0" collapsed="false">
      <c r="A7" s="21" t="s">
        <v>359</v>
      </c>
      <c r="B7" s="25" t="n">
        <v>100</v>
      </c>
      <c r="E7" s="47" t="s">
        <v>360</v>
      </c>
      <c r="F7" s="48" t="s">
        <v>232</v>
      </c>
      <c r="G7" s="48" t="s">
        <v>361</v>
      </c>
    </row>
    <row r="8" customFormat="false" ht="15" hidden="false" customHeight="false" outlineLevel="0" collapsed="false">
      <c r="A8" s="21" t="s">
        <v>362</v>
      </c>
      <c r="B8" s="25" t="n">
        <v>10</v>
      </c>
      <c r="E8" s="47" t="s">
        <v>363</v>
      </c>
      <c r="F8" s="48" t="s">
        <v>364</v>
      </c>
      <c r="G8" s="48" t="s">
        <v>365</v>
      </c>
    </row>
    <row r="9" customFormat="false" ht="15" hidden="false" customHeight="false" outlineLevel="0" collapsed="false">
      <c r="A9" s="21" t="s">
        <v>366</v>
      </c>
      <c r="B9" s="25" t="n">
        <v>150</v>
      </c>
      <c r="E9" s="47" t="s">
        <v>367</v>
      </c>
      <c r="F9" s="48" t="s">
        <v>368</v>
      </c>
      <c r="G9" s="48" t="s">
        <v>369</v>
      </c>
    </row>
    <row r="10" customFormat="false" ht="15" hidden="false" customHeight="false" outlineLevel="0" collapsed="false">
      <c r="A10" s="21" t="s">
        <v>370</v>
      </c>
      <c r="B10" s="25" t="n">
        <v>15</v>
      </c>
      <c r="E10" s="47" t="s">
        <v>371</v>
      </c>
      <c r="F10" s="48" t="s">
        <v>232</v>
      </c>
      <c r="G10" s="48" t="s">
        <v>372</v>
      </c>
    </row>
    <row r="11" customFormat="false" ht="15" hidden="false" customHeight="false" outlineLevel="0" collapsed="false">
      <c r="A11" s="21" t="s">
        <v>373</v>
      </c>
      <c r="B11" s="25" t="n">
        <v>0.8</v>
      </c>
      <c r="C11" s="6" t="s">
        <v>204</v>
      </c>
    </row>
    <row r="12" customFormat="false" ht="15" hidden="false" customHeight="false" outlineLevel="0" collapsed="false">
      <c r="E12" s="14" t="s">
        <v>374</v>
      </c>
      <c r="F12" s="14"/>
      <c r="G12" s="14"/>
    </row>
    <row r="13" customFormat="false" ht="18.75" hidden="false" customHeight="true" outlineLevel="0" collapsed="false">
      <c r="A13" s="15" t="s">
        <v>375</v>
      </c>
      <c r="B13" s="15"/>
      <c r="C13" s="15"/>
    </row>
    <row r="14" customFormat="false" ht="15" hidden="false" customHeight="false" outlineLevel="0" collapsed="false">
      <c r="A14" s="35" t="s">
        <v>232</v>
      </c>
      <c r="B14" s="36" t="s">
        <v>376</v>
      </c>
      <c r="C14" s="32" t="n">
        <f aca="false">B8^2</f>
        <v>100</v>
      </c>
    </row>
    <row r="15" customFormat="false" ht="15" hidden="false" customHeight="false" outlineLevel="0" collapsed="false">
      <c r="A15" s="35" t="s">
        <v>235</v>
      </c>
      <c r="B15" s="36" t="s">
        <v>377</v>
      </c>
      <c r="C15" s="32" t="n">
        <f aca="false">B10^2</f>
        <v>225</v>
      </c>
    </row>
    <row r="16" customFormat="false" ht="15" hidden="false" customHeight="false" outlineLevel="0" collapsed="false">
      <c r="A16" s="35" t="s">
        <v>238</v>
      </c>
      <c r="B16" s="36" t="s">
        <v>378</v>
      </c>
      <c r="C16" s="32" t="n">
        <f aca="false">B5^2*C14</f>
        <v>100</v>
      </c>
    </row>
    <row r="17" customFormat="false" ht="15" hidden="false" customHeight="false" outlineLevel="0" collapsed="false">
      <c r="A17" s="35" t="s">
        <v>341</v>
      </c>
      <c r="B17" s="36" t="s">
        <v>379</v>
      </c>
      <c r="C17" s="32" t="n">
        <f aca="false">B6^2*C15</f>
        <v>225</v>
      </c>
    </row>
    <row r="18" customFormat="false" ht="15" hidden="false" customHeight="false" outlineLevel="0" collapsed="false">
      <c r="A18" s="35" t="s">
        <v>380</v>
      </c>
      <c r="B18" s="36" t="s">
        <v>381</v>
      </c>
      <c r="C18" s="32" t="n">
        <f aca="false">2*B5*B6*B8*B10*B11</f>
        <v>240</v>
      </c>
    </row>
    <row r="19" customFormat="false" ht="15" hidden="false" customHeight="false" outlineLevel="0" collapsed="false">
      <c r="A19" s="35" t="s">
        <v>382</v>
      </c>
      <c r="B19" s="36" t="s">
        <v>383</v>
      </c>
      <c r="C19" s="32" t="n">
        <f aca="false">C16+C17+C18</f>
        <v>565</v>
      </c>
    </row>
    <row r="20" customFormat="false" ht="15" hidden="false" customHeight="false" outlineLevel="0" collapsed="false">
      <c r="A20" s="35" t="s">
        <v>384</v>
      </c>
      <c r="B20" s="36" t="s">
        <v>385</v>
      </c>
      <c r="C20" s="32" t="n">
        <f aca="false">IFERROR(SQRT(C19),"check inputs")</f>
        <v>23.7697286480094</v>
      </c>
    </row>
    <row r="21" customFormat="false" ht="15" hidden="false" customHeight="false" outlineLevel="0" collapsed="false">
      <c r="A21" s="35" t="s">
        <v>386</v>
      </c>
      <c r="B21" s="36" t="s">
        <v>387</v>
      </c>
      <c r="C21" s="32" t="n">
        <f aca="false">B5*B7+B6*B9</f>
        <v>250</v>
      </c>
    </row>
    <row r="23" customFormat="false" ht="30" hidden="false" customHeight="true" outlineLevel="0" collapsed="false">
      <c r="A23" s="28" t="s">
        <v>241</v>
      </c>
      <c r="B23" s="11" t="str">
        <f aca="false">"E = "&amp;TEXT(C21,"0.0000")&amp;"   and   stdev = "&amp;TEXT(C20,"0.0000")&amp;"      so the combination is Normal( "&amp;TEXT(C21,"0.00")&amp;" , "&amp;TEXT(C20,"0.00")&amp;"² )"</f>
        <v>E = 250.0000   and   stdev = 23.7697      so the combination is Normal( 250.00 , 23.77² )</v>
      </c>
      <c r="C23" s="11"/>
    </row>
    <row r="25" customFormat="false" ht="61.5" hidden="false" customHeight="true" outlineLevel="0" collapsed="false">
      <c r="A25" s="49" t="s">
        <v>388</v>
      </c>
      <c r="B25" s="50" t="str">
        <f aca="false">"V(aX+bY) = a²V(X) + b²V(Y) + 2ab·sdX·sdY·Corr"&amp;CHAR(10)&amp;"= "&amp;TEXT(B5,"0.##")&amp;"²×"&amp;TEXT(C14,"0.##")&amp;" + "&amp;TEXT(B6,"0.##")&amp;"²×"&amp;TEXT(C15,"0.##")&amp;" + 2×"&amp;TEXT(B5,"0.##")&amp;"×"&amp;TEXT(B6,"0.##")&amp;"×"&amp;TEXT(B8,"0.##")&amp;"×"&amp;TEXT(B10,"0.##")&amp;"×"&amp;TEXT(B11,"0.##")&amp;CHAR(10)&amp;"= "&amp;TEXT(C16,"0.####")&amp;" + "&amp;TEXT(C17,"0.####")&amp;" + "&amp;TEXT(C18,"0.####")&amp;" = "&amp;TEXT(C19,"0.####")&amp;CHAR(10)&amp;"stdev = SQRT("&amp;TEXT(C19,"0.####")&amp;") = "&amp;TEXT(C20,"0.####")&amp;CHAR(10)&amp;"E = "&amp;TEXT(B5,"0.##")&amp;"×"&amp;TEXT(B7,"0.##")&amp;" + "&amp;TEXT(B6,"0.##")&amp;"×"&amp;TEXT(B9,"0.##")&amp;" = "&amp;TEXT(C21,"0.####")</f>
        <v>V(aX+bY) = a²V(X) + b²V(Y) + 2ab·sdX·sdY·Corr
= 1²×100 + 1²×225 + 2×1×1×10×15×0.8
= 100 + 225 + 240 = 565
stdev = SQRT(565) = 23.7697
E = 1×100 + 1×150 = 250</v>
      </c>
      <c r="C25" s="50"/>
      <c r="D25" s="50"/>
      <c r="E25" s="50"/>
      <c r="F25" s="50"/>
      <c r="G25" s="50"/>
    </row>
    <row r="26" customFormat="false" ht="15" hidden="false" customHeight="false" outlineLevel="0" collapsed="false">
      <c r="B26" s="50"/>
      <c r="C26" s="50"/>
      <c r="D26" s="50"/>
      <c r="E26" s="50"/>
      <c r="F26" s="50"/>
      <c r="G26" s="50"/>
    </row>
    <row r="28" customFormat="false" ht="24" hidden="false" customHeight="true" outlineLevel="0" collapsed="false">
      <c r="A28" s="29" t="s">
        <v>389</v>
      </c>
      <c r="B28" s="29"/>
      <c r="C28" s="29"/>
    </row>
    <row r="30" customFormat="false" ht="18.75" hidden="false" customHeight="true" outlineLevel="0" collapsed="false">
      <c r="A30" s="15" t="s">
        <v>390</v>
      </c>
      <c r="B30" s="15"/>
      <c r="C30" s="15"/>
      <c r="E30" s="15" t="s">
        <v>391</v>
      </c>
      <c r="F30" s="15"/>
      <c r="G30" s="15"/>
    </row>
    <row r="31" customFormat="false" ht="15" hidden="false" customHeight="false" outlineLevel="0" collapsed="false">
      <c r="A31" s="6" t="s">
        <v>392</v>
      </c>
      <c r="E31" s="34" t="s">
        <v>393</v>
      </c>
      <c r="F31" s="34"/>
      <c r="G31" s="34"/>
    </row>
    <row r="32" customFormat="false" ht="15" hidden="false" customHeight="false" outlineLevel="0" collapsed="false">
      <c r="A32" s="21" t="s">
        <v>394</v>
      </c>
      <c r="B32" s="25" t="n">
        <v>0</v>
      </c>
      <c r="C32" s="6" t="s">
        <v>395</v>
      </c>
      <c r="E32" s="34" t="s">
        <v>396</v>
      </c>
      <c r="F32" s="34"/>
      <c r="G32" s="34"/>
    </row>
    <row r="33" customFormat="false" ht="15" hidden="false" customHeight="false" outlineLevel="0" collapsed="false">
      <c r="A33" s="35" t="s">
        <v>397</v>
      </c>
      <c r="B33" s="36" t="s">
        <v>233</v>
      </c>
      <c r="C33" s="23" t="n">
        <f aca="false">IFERROR((B32-C21)/C20,"")</f>
        <v>-10.5175790477918</v>
      </c>
      <c r="E33" s="34"/>
      <c r="F33" s="34"/>
      <c r="G33" s="34"/>
    </row>
    <row r="34" customFormat="false" ht="15" hidden="false" customHeight="false" outlineLevel="0" collapsed="false">
      <c r="A34" s="35" t="s">
        <v>398</v>
      </c>
      <c r="B34" s="36" t="s">
        <v>399</v>
      </c>
      <c r="C34" s="32" t="n">
        <f aca="false">IFERROR(NORMDIST(B32,C21,C20,TRUE()),"")</f>
        <v>3.58460058942939E-026</v>
      </c>
      <c r="E34" s="37" t="s">
        <v>400</v>
      </c>
      <c r="F34" s="37"/>
      <c r="G34" s="37"/>
    </row>
    <row r="35" customFormat="false" ht="15" hidden="false" customHeight="false" outlineLevel="0" collapsed="false">
      <c r="A35" s="35" t="s">
        <v>401</v>
      </c>
      <c r="B35" s="36" t="s">
        <v>402</v>
      </c>
      <c r="C35" s="32" t="n">
        <f aca="false">IFERROR(1-C34,"")</f>
        <v>1</v>
      </c>
      <c r="E35" s="34" t="s">
        <v>403</v>
      </c>
      <c r="F35" s="34"/>
      <c r="G35" s="34"/>
    </row>
    <row r="36" customFormat="false" ht="15" hidden="false" customHeight="false" outlineLevel="0" collapsed="false">
      <c r="A36" s="21" t="s">
        <v>244</v>
      </c>
      <c r="B36" s="25" t="n">
        <v>240</v>
      </c>
      <c r="C36" s="6" t="s">
        <v>404</v>
      </c>
      <c r="E36" s="34"/>
      <c r="F36" s="34"/>
      <c r="G36" s="34"/>
    </row>
    <row r="37" customFormat="false" ht="15" hidden="false" customHeight="false" outlineLevel="0" collapsed="false">
      <c r="A37" s="21" t="s">
        <v>245</v>
      </c>
      <c r="B37" s="25" t="n">
        <v>260</v>
      </c>
      <c r="E37" s="37" t="s">
        <v>405</v>
      </c>
      <c r="F37" s="37"/>
      <c r="G37" s="37"/>
    </row>
    <row r="38" customFormat="false" ht="15" hidden="false" customHeight="false" outlineLevel="0" collapsed="false">
      <c r="A38" s="35" t="s">
        <v>406</v>
      </c>
      <c r="B38" s="36" t="s">
        <v>407</v>
      </c>
      <c r="C38" s="32" t="n">
        <f aca="false">IFERROR(NORMDIST(B37,C21,C20,TRUE())-NORMDIST(B36,C21,C20,TRUE()),"")</f>
        <v>0.326028148015243</v>
      </c>
      <c r="E38" s="34" t="s">
        <v>408</v>
      </c>
      <c r="F38" s="34"/>
      <c r="G38" s="34"/>
    </row>
    <row r="39" customFormat="false" ht="15" hidden="false" customHeight="false" outlineLevel="0" collapsed="false">
      <c r="E39" s="34"/>
      <c r="F39" s="34"/>
      <c r="G39" s="34"/>
    </row>
    <row r="40" customFormat="false" ht="30" hidden="false" customHeight="true" outlineLevel="0" collapsed="false">
      <c r="A40" s="28" t="s">
        <v>409</v>
      </c>
      <c r="B40" s="11" t="str">
        <f aca="false">IF(AND(B5=1,B6=-1),"With a=1 and b=-1 and cut-off 0:  P(X &gt; Y) = "&amp;TEXT(1-NORMDIST(0,C21,C20,TRUE()),"0.000000"),"To get P(X&gt;Y): set a=1, b=-1 above and put 0 in the cut-off cell.")</f>
        <v>To get P(X&gt;Y): set a=1, b=-1 above and put 0 in the cut-off cell.</v>
      </c>
      <c r="C40" s="11"/>
      <c r="E40" s="37" t="s">
        <v>410</v>
      </c>
      <c r="F40" s="37"/>
      <c r="G40" s="37"/>
    </row>
    <row r="41" customFormat="false" ht="15" hidden="false" customHeight="false" outlineLevel="0" collapsed="false">
      <c r="E41" s="34" t="s">
        <v>411</v>
      </c>
      <c r="F41" s="34"/>
      <c r="G41" s="34"/>
    </row>
    <row r="42" customFormat="false" ht="18.75" hidden="false" customHeight="true" outlineLevel="0" collapsed="false">
      <c r="A42" s="15" t="s">
        <v>412</v>
      </c>
      <c r="B42" s="15"/>
      <c r="C42" s="15"/>
      <c r="E42" s="34" t="s">
        <v>413</v>
      </c>
      <c r="F42" s="34"/>
      <c r="G42" s="34"/>
    </row>
    <row r="43" customFormat="false" ht="15" hidden="false" customHeight="false" outlineLevel="0" collapsed="false">
      <c r="A43" s="21" t="s">
        <v>414</v>
      </c>
      <c r="B43" s="38" t="n">
        <v>0.99</v>
      </c>
      <c r="C43" s="6" t="s">
        <v>415</v>
      </c>
      <c r="E43" s="34"/>
      <c r="F43" s="34"/>
      <c r="G43" s="34"/>
    </row>
    <row r="44" customFormat="false" ht="15" hidden="false" customHeight="false" outlineLevel="0" collapsed="false">
      <c r="A44" s="35" t="s">
        <v>416</v>
      </c>
      <c r="B44" s="36" t="s">
        <v>417</v>
      </c>
      <c r="C44" s="23" t="n">
        <f aca="false">IFERROR(NORMINV(B43,C21,C20),"")</f>
        <v>305.296657706824</v>
      </c>
      <c r="E44" s="34" t="s">
        <v>418</v>
      </c>
      <c r="F44" s="34"/>
      <c r="G44" s="34"/>
    </row>
    <row r="45" customFormat="false" ht="15" hidden="false" customHeight="false" outlineLevel="0" collapsed="false">
      <c r="A45" s="35" t="s">
        <v>419</v>
      </c>
      <c r="B45" s="36" t="s">
        <v>420</v>
      </c>
      <c r="C45" s="22" t="n">
        <f aca="false">IFERROR(ROUNDUP(NORMINV(B43,C21,C20),0),"")</f>
        <v>306</v>
      </c>
      <c r="E45" s="34" t="s">
        <v>421</v>
      </c>
      <c r="F45" s="34"/>
      <c r="G45" s="34"/>
    </row>
    <row r="47" customFormat="false" ht="30" hidden="false" customHeight="true" outlineLevel="0" collapsed="false">
      <c r="A47" s="28" t="s">
        <v>241</v>
      </c>
      <c r="B47" s="11" t="str">
        <f aca="false">IFERROR("Hold "&amp;TEXT(ROUNDUP(NORMINV(B43,C21,C20),0),"0")&amp;" units. Exact requirement is "&amp;TEXT(NORMINV(B43,C21,C20),"0.00")&amp;", and you must round UP to cover it.","")</f>
        <v>Hold 306 units. Exact requirement is 305.30, and you must round UP to cover it.</v>
      </c>
      <c r="C47" s="11"/>
    </row>
  </sheetData>
  <mergeCells count="29">
    <mergeCell ref="A1:G1"/>
    <mergeCell ref="A2:G2"/>
    <mergeCell ref="A4:C4"/>
    <mergeCell ref="E4:G4"/>
    <mergeCell ref="E12:G12"/>
    <mergeCell ref="A13:C13"/>
    <mergeCell ref="B23:C23"/>
    <mergeCell ref="B25:G26"/>
    <mergeCell ref="A28:C28"/>
    <mergeCell ref="A30:C30"/>
    <mergeCell ref="E30:G30"/>
    <mergeCell ref="E31:G31"/>
    <mergeCell ref="E32:G32"/>
    <mergeCell ref="E33:G33"/>
    <mergeCell ref="E34:G34"/>
    <mergeCell ref="E35:G35"/>
    <mergeCell ref="E36:G36"/>
    <mergeCell ref="E37:G37"/>
    <mergeCell ref="E38:G38"/>
    <mergeCell ref="E39:G39"/>
    <mergeCell ref="B40:C40"/>
    <mergeCell ref="E40:G40"/>
    <mergeCell ref="E41:G41"/>
    <mergeCell ref="A42:C42"/>
    <mergeCell ref="E42:G42"/>
    <mergeCell ref="E43:G43"/>
    <mergeCell ref="E44:G44"/>
    <mergeCell ref="E45:G45"/>
    <mergeCell ref="B47:C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16"/>
    <col collapsed="false" customWidth="true" hidden="false" outlineLevel="0" max="4" min="4" style="0" width="10"/>
    <col collapsed="false" customWidth="true" hidden="false" outlineLevel="0" max="5" min="5" style="0" width="38"/>
    <col collapsed="false" customWidth="true" hidden="false" outlineLevel="0" max="7" min="6" style="0" width="14"/>
    <col collapsed="false" customWidth="true" hidden="false" outlineLevel="0" max="8" min="8" style="0" width="30"/>
  </cols>
  <sheetData>
    <row r="1" customFormat="false" ht="27.75" hidden="false" customHeight="true" outlineLevel="0" collapsed="false">
      <c r="A1" s="1" t="s">
        <v>422</v>
      </c>
      <c r="B1" s="1"/>
      <c r="C1" s="1"/>
      <c r="D1" s="1"/>
      <c r="E1" s="1"/>
      <c r="F1" s="1"/>
      <c r="G1" s="1"/>
      <c r="H1" s="1"/>
    </row>
    <row r="2" customFormat="false" ht="15" hidden="false" customHeight="true" outlineLevel="0" collapsed="false">
      <c r="A2" s="2" t="s">
        <v>423</v>
      </c>
      <c r="B2" s="2"/>
      <c r="C2" s="2"/>
      <c r="D2" s="2"/>
      <c r="E2" s="2"/>
      <c r="F2" s="2"/>
      <c r="G2" s="2"/>
      <c r="H2" s="2"/>
    </row>
    <row r="4" customFormat="false" ht="18.75" hidden="false" customHeight="true" outlineLevel="0" collapsed="false">
      <c r="A4" s="15" t="s">
        <v>424</v>
      </c>
      <c r="B4" s="15"/>
      <c r="C4" s="15"/>
    </row>
    <row r="5" customFormat="false" ht="15" hidden="false" customHeight="false" outlineLevel="0" collapsed="false">
      <c r="A5" s="6" t="s">
        <v>425</v>
      </c>
    </row>
    <row r="6" customFormat="false" ht="15" hidden="false" customHeight="false" outlineLevel="0" collapsed="false">
      <c r="A6" s="21" t="s">
        <v>426</v>
      </c>
      <c r="B6" s="25" t="n">
        <v>0.1</v>
      </c>
    </row>
    <row r="7" customFormat="false" ht="15" hidden="false" customHeight="false" outlineLevel="0" collapsed="false">
      <c r="A7" s="21" t="s">
        <v>427</v>
      </c>
      <c r="B7" s="25" t="n">
        <v>0.15</v>
      </c>
    </row>
    <row r="8" customFormat="false" ht="15" hidden="false" customHeight="false" outlineLevel="0" collapsed="false">
      <c r="A8" s="21" t="s">
        <v>428</v>
      </c>
      <c r="B8" s="25" t="n">
        <v>0.2</v>
      </c>
    </row>
    <row r="9" customFormat="false" ht="15" hidden="false" customHeight="false" outlineLevel="0" collapsed="false">
      <c r="A9" s="21" t="s">
        <v>429</v>
      </c>
      <c r="B9" s="25" t="n">
        <v>0.35</v>
      </c>
    </row>
    <row r="10" customFormat="false" ht="15" hidden="false" customHeight="false" outlineLevel="0" collapsed="false">
      <c r="A10" s="21" t="s">
        <v>430</v>
      </c>
      <c r="B10" s="25" t="n">
        <v>0.5</v>
      </c>
    </row>
    <row r="12" customFormat="false" ht="18.75" hidden="false" customHeight="true" outlineLevel="0" collapsed="false">
      <c r="A12" s="15" t="s">
        <v>431</v>
      </c>
      <c r="B12" s="15"/>
      <c r="C12" s="15"/>
      <c r="E12" s="15" t="s">
        <v>432</v>
      </c>
      <c r="F12" s="15"/>
      <c r="G12" s="15"/>
      <c r="H12" s="15"/>
    </row>
    <row r="13" customFormat="false" ht="15" hidden="false" customHeight="false" outlineLevel="0" collapsed="false">
      <c r="A13" s="21" t="s">
        <v>433</v>
      </c>
      <c r="B13" s="25" t="n">
        <v>0.4</v>
      </c>
      <c r="C13" s="6" t="s">
        <v>434</v>
      </c>
      <c r="E13" s="34" t="s">
        <v>435</v>
      </c>
      <c r="F13" s="34"/>
      <c r="G13" s="34"/>
      <c r="H13" s="34"/>
    </row>
    <row r="14" customFormat="false" ht="15" hidden="false" customHeight="false" outlineLevel="0" collapsed="false">
      <c r="A14" s="35" t="s">
        <v>232</v>
      </c>
      <c r="B14" s="36" t="s">
        <v>436</v>
      </c>
      <c r="C14" s="32" t="n">
        <f aca="false">B13*B6+(1-B13)*B8</f>
        <v>0.16</v>
      </c>
      <c r="E14" s="34" t="s">
        <v>437</v>
      </c>
      <c r="F14" s="34"/>
      <c r="G14" s="34"/>
      <c r="H14" s="34"/>
    </row>
    <row r="15" customFormat="false" ht="15" hidden="false" customHeight="false" outlineLevel="0" collapsed="false">
      <c r="A15" s="35" t="s">
        <v>235</v>
      </c>
      <c r="B15" s="36" t="s">
        <v>438</v>
      </c>
      <c r="C15" s="32" t="n">
        <f aca="false">B13^2*B7^2+(1-B13)^2*B9^2+2*B13*(1-B13)*B7*B9*B10</f>
        <v>0.0603</v>
      </c>
      <c r="E15" s="34" t="s">
        <v>439</v>
      </c>
      <c r="F15" s="34"/>
      <c r="G15" s="34"/>
      <c r="H15" s="34"/>
    </row>
    <row r="16" customFormat="false" ht="15" hidden="false" customHeight="false" outlineLevel="0" collapsed="false">
      <c r="A16" s="35" t="s">
        <v>238</v>
      </c>
      <c r="B16" s="36" t="s">
        <v>440</v>
      </c>
      <c r="C16" s="32" t="n">
        <f aca="false">IFERROR(SQRT(C15),"")</f>
        <v>0.245560583156174</v>
      </c>
      <c r="E16" s="34" t="s">
        <v>441</v>
      </c>
      <c r="F16" s="34"/>
      <c r="G16" s="34"/>
      <c r="H16" s="34"/>
    </row>
    <row r="17" customFormat="false" ht="15" hidden="false" customHeight="false" outlineLevel="0" collapsed="false">
      <c r="E17" s="34"/>
      <c r="F17" s="34"/>
      <c r="G17" s="34"/>
      <c r="H17" s="34"/>
    </row>
    <row r="18" customFormat="false" ht="30" hidden="false" customHeight="true" outlineLevel="0" collapsed="false">
      <c r="A18" s="28" t="s">
        <v>241</v>
      </c>
      <c r="B18" s="11" t="str">
        <f aca="false">"Put "&amp;TEXT(B13,"0.0%")&amp;" in X and "&amp;TEXT(1-B13,"0.0%")&amp;" in Y.  Expected return = "&amp;TEXT(C14,"0.0000")&amp;"   Risk (stdev) = "&amp;TEXT(C16,"0.0000")</f>
        <v>Put 40.0% in X and 60.0% in Y.  Expected return = 0.1600   Risk (stdev) = 0.2456</v>
      </c>
      <c r="C18" s="11"/>
      <c r="E18" s="37" t="s">
        <v>442</v>
      </c>
      <c r="F18" s="37"/>
      <c r="G18" s="37"/>
      <c r="H18" s="37"/>
    </row>
    <row r="19" customFormat="false" ht="15" hidden="false" customHeight="false" outlineLevel="0" collapsed="false">
      <c r="E19" s="34" t="s">
        <v>443</v>
      </c>
      <c r="F19" s="34"/>
      <c r="G19" s="34"/>
      <c r="H19" s="34"/>
    </row>
    <row r="20" customFormat="false" ht="18.75" hidden="false" customHeight="true" outlineLevel="0" collapsed="false">
      <c r="A20" s="15" t="s">
        <v>444</v>
      </c>
      <c r="B20" s="15"/>
      <c r="C20" s="15"/>
      <c r="E20" s="34" t="s">
        <v>445</v>
      </c>
      <c r="F20" s="34"/>
      <c r="G20" s="34"/>
      <c r="H20" s="34"/>
    </row>
    <row r="21" customFormat="false" ht="15" hidden="false" customHeight="false" outlineLevel="0" collapsed="false">
      <c r="A21" s="6" t="s">
        <v>446</v>
      </c>
      <c r="E21" s="34" t="s">
        <v>447</v>
      </c>
      <c r="F21" s="34"/>
      <c r="G21" s="34"/>
      <c r="H21" s="34"/>
    </row>
    <row r="22" customFormat="false" ht="15" hidden="false" customHeight="false" outlineLevel="0" collapsed="false">
      <c r="A22" s="21" t="s">
        <v>448</v>
      </c>
      <c r="B22" s="25" t="n">
        <v>0.15</v>
      </c>
      <c r="E22" s="34"/>
      <c r="F22" s="34"/>
      <c r="G22" s="34"/>
      <c r="H22" s="34"/>
    </row>
    <row r="23" customFormat="false" ht="15" hidden="false" customHeight="false" outlineLevel="0" collapsed="false">
      <c r="A23" s="35" t="s">
        <v>232</v>
      </c>
      <c r="B23" s="36" t="s">
        <v>449</v>
      </c>
      <c r="C23" s="32" t="n">
        <f aca="false">IFERROR((B22-B8)/(B6-B8),"")</f>
        <v>0.5</v>
      </c>
      <c r="E23" s="37" t="s">
        <v>450</v>
      </c>
      <c r="F23" s="37"/>
      <c r="G23" s="37"/>
      <c r="H23" s="37"/>
    </row>
    <row r="24" customFormat="false" ht="15" hidden="false" customHeight="false" outlineLevel="0" collapsed="false">
      <c r="A24" s="35" t="s">
        <v>235</v>
      </c>
      <c r="B24" s="36" t="s">
        <v>451</v>
      </c>
      <c r="C24" s="32" t="n">
        <f aca="false">IFERROR(1-C23,"")</f>
        <v>0.5</v>
      </c>
      <c r="E24" s="37" t="s">
        <v>452</v>
      </c>
      <c r="F24" s="37"/>
      <c r="G24" s="37"/>
      <c r="H24" s="37"/>
    </row>
    <row r="25" customFormat="false" ht="15" hidden="false" customHeight="false" outlineLevel="0" collapsed="false">
      <c r="A25" s="35" t="s">
        <v>238</v>
      </c>
      <c r="B25" s="36" t="s">
        <v>453</v>
      </c>
      <c r="C25" s="32" t="n">
        <f aca="false">IFERROR(SQRT(C23^2*B7^2+(1-C23)^2*B9^2+2*C23*(1-C23)*B7*B9*B10),"")</f>
        <v>0.22220486043289</v>
      </c>
      <c r="E25" s="34" t="s">
        <v>454</v>
      </c>
      <c r="F25" s="34"/>
      <c r="G25" s="34"/>
      <c r="H25" s="34"/>
    </row>
    <row r="27" customFormat="false" ht="30" hidden="false" customHeight="true" outlineLevel="0" collapsed="false">
      <c r="A27" s="28" t="s">
        <v>241</v>
      </c>
      <c r="B27" s="11" t="str">
        <f aca="false">IF(C23="","",IF(OR(C23&lt;0,C23&gt;1),"w = "&amp;TEXT(C23,"0.0000")&amp;" is OUTSIDE 0–1, so this target needs short selling. It is not reachable with a long-only portfolio.","Invest "&amp;TEXT(C23,"0.0%")&amp;" in X and "&amp;TEXT(1-C23,"0.0%")&amp;" in Y. That gives exactly "&amp;TEXT(B22,"0.0000")&amp;" expected return, at a risk of "&amp;TEXT(C25,"0.0000")&amp;"."))</f>
        <v>Invest 50.0% in X and 50.0% in Y. That gives exactly 0.1500 expected return, at a risk of 0.2222.</v>
      </c>
      <c r="C27" s="11"/>
    </row>
    <row r="28" customFormat="false" ht="15" hidden="false" customHeight="false" outlineLevel="0" collapsed="false">
      <c r="A28" s="6" t="s">
        <v>455</v>
      </c>
    </row>
    <row r="30" customFormat="false" ht="18.75" hidden="false" customHeight="true" outlineLevel="0" collapsed="false">
      <c r="A30" s="15" t="s">
        <v>456</v>
      </c>
      <c r="B30" s="15"/>
      <c r="C30" s="15"/>
    </row>
    <row r="31" customFormat="false" ht="24" hidden="false" customHeight="true" outlineLevel="0" collapsed="false">
      <c r="A31" s="29" t="s">
        <v>457</v>
      </c>
      <c r="B31" s="29"/>
      <c r="C31" s="29"/>
    </row>
    <row r="32" customFormat="false" ht="15" hidden="false" customHeight="false" outlineLevel="0" collapsed="false">
      <c r="A32" s="21" t="s">
        <v>458</v>
      </c>
      <c r="B32" s="25" t="n">
        <v>0.2</v>
      </c>
    </row>
    <row r="33" customFormat="false" ht="15" hidden="false" customHeight="false" outlineLevel="0" collapsed="false">
      <c r="A33" s="35" t="s">
        <v>232</v>
      </c>
      <c r="B33" s="36" t="s">
        <v>459</v>
      </c>
      <c r="C33" s="32" t="n">
        <f aca="false">B7^2+B9^2-2*B10*B7*B9</f>
        <v>0.0925</v>
      </c>
    </row>
    <row r="34" customFormat="false" ht="15" hidden="false" customHeight="false" outlineLevel="0" collapsed="false">
      <c r="A34" s="35" t="s">
        <v>235</v>
      </c>
      <c r="B34" s="36" t="s">
        <v>460</v>
      </c>
      <c r="C34" s="32" t="n">
        <f aca="false">2*B10*B7*B9-2*B9^2</f>
        <v>-0.1925</v>
      </c>
    </row>
    <row r="35" customFormat="false" ht="15" hidden="false" customHeight="false" outlineLevel="0" collapsed="false">
      <c r="A35" s="35" t="s">
        <v>238</v>
      </c>
      <c r="B35" s="36" t="s">
        <v>461</v>
      </c>
      <c r="C35" s="32" t="n">
        <f aca="false">B9^2-B32^2</f>
        <v>0.0825</v>
      </c>
    </row>
    <row r="36" customFormat="false" ht="15" hidden="false" customHeight="false" outlineLevel="0" collapsed="false">
      <c r="A36" s="35" t="s">
        <v>341</v>
      </c>
      <c r="B36" s="36" t="s">
        <v>462</v>
      </c>
      <c r="C36" s="32" t="n">
        <f aca="false">C34^2-4*C33*C35</f>
        <v>0.00653125</v>
      </c>
    </row>
    <row r="37" customFormat="false" ht="15" hidden="false" customHeight="false" outlineLevel="0" collapsed="false">
      <c r="A37" s="35" t="s">
        <v>380</v>
      </c>
      <c r="B37" s="36" t="s">
        <v>463</v>
      </c>
      <c r="C37" s="32" t="n">
        <f aca="false">IFERROR(IF(C36&lt;0,"impossible",(-C34+SQRT(C36))/(2*C33)),"")</f>
        <v>1.47738459122283</v>
      </c>
    </row>
    <row r="38" customFormat="false" ht="15" hidden="false" customHeight="false" outlineLevel="0" collapsed="false">
      <c r="A38" s="35" t="s">
        <v>382</v>
      </c>
      <c r="B38" s="36" t="s">
        <v>464</v>
      </c>
      <c r="C38" s="32" t="n">
        <f aca="false">IFERROR(IF(C36&lt;0,"impossible",(-C34-SQRT(C36))/(2*C33)),"")</f>
        <v>0.603696489858254</v>
      </c>
    </row>
    <row r="40" customFormat="false" ht="30" hidden="false" customHeight="true" outlineLevel="0" collapsed="false">
      <c r="A40" s="28" t="s">
        <v>241</v>
      </c>
      <c r="B40" s="11" t="str">
        <f aca="false">IF(C36&lt;0,"That risk level is impossible with these two assets — check the minimum in section D.",IF(AND(C38&gt;=0,C38&lt;=1),"Use w = "&amp;TEXT(C38,"0.0000")&amp;" — invest "&amp;TEXT(C38,"0.0%")&amp;" in X and "&amp;TEXT(1-C38,"0.0%")&amp;" in Y. Expected return = "&amp;TEXT(C38*B6+(1-C38)*B8,"0.0000")&amp;".",IF(AND(C37&gt;=0,C37&lt;=1),"Use w = "&amp;TEXT(C37,"0.0000")&amp;" — invest "&amp;TEXT(C37,"0.0%")&amp;" in X and "&amp;TEXT(1-C37,"0.0%")&amp;" in Y. Expected return = "&amp;TEXT(C37*B6+(1-C37)*B8,"0.0000")&amp;".","Neither root sits inside 0–1, so this needs short selling.")))</f>
        <v>Use w = 0.6037 — invest 60.4% in X and 39.6% in Y. Expected return = 0.1396.</v>
      </c>
      <c r="C40" s="11"/>
    </row>
    <row r="41" customFormat="false" ht="15" hidden="false" customHeight="false" outlineLevel="0" collapsed="false">
      <c r="A41" s="6" t="s">
        <v>465</v>
      </c>
    </row>
    <row r="43" customFormat="false" ht="18.75" hidden="false" customHeight="true" outlineLevel="0" collapsed="false">
      <c r="A43" s="15" t="s">
        <v>466</v>
      </c>
      <c r="B43" s="15"/>
      <c r="C43" s="15"/>
    </row>
    <row r="44" customFormat="false" ht="15" hidden="false" customHeight="false" outlineLevel="0" collapsed="false">
      <c r="A44" s="35" t="s">
        <v>232</v>
      </c>
      <c r="B44" s="36" t="s">
        <v>467</v>
      </c>
      <c r="C44" s="32" t="n">
        <f aca="false">IFERROR((B9^2-B10*B7*B9)/(B7^2+B9^2-2*B10*B7*B9),"")</f>
        <v>1.04054054054054</v>
      </c>
    </row>
    <row r="45" customFormat="false" ht="15" hidden="false" customHeight="false" outlineLevel="0" collapsed="false">
      <c r="A45" s="35" t="s">
        <v>235</v>
      </c>
      <c r="B45" s="36" t="s">
        <v>468</v>
      </c>
      <c r="C45" s="32" t="n">
        <f aca="false">IFERROR(SQRT(C44^2*B7^2+(1-C44)^2*B9^2+2*C44*(1-C44)*B7*B9*B10),"")</f>
        <v>0.149492384331019</v>
      </c>
    </row>
    <row r="46" customFormat="false" ht="15" hidden="false" customHeight="false" outlineLevel="0" collapsed="false">
      <c r="A46" s="35" t="s">
        <v>238</v>
      </c>
      <c r="B46" s="36" t="s">
        <v>469</v>
      </c>
      <c r="C46" s="32" t="n">
        <f aca="false">IFERROR(C44*B6+(1-C44)*B8,"")</f>
        <v>0.095945945945946</v>
      </c>
    </row>
    <row r="47" customFormat="false" ht="15" hidden="false" customHeight="false" outlineLevel="0" collapsed="false">
      <c r="A47" s="35" t="s">
        <v>341</v>
      </c>
      <c r="B47" s="36" t="s">
        <v>470</v>
      </c>
      <c r="C47" s="32" t="n">
        <f aca="false">IFERROR(MIN(1,MAX(0,C44)),"")</f>
        <v>1</v>
      </c>
    </row>
    <row r="49" customFormat="false" ht="15" hidden="false" customHeight="false" outlineLevel="0" collapsed="false">
      <c r="A49" s="35" t="s">
        <v>380</v>
      </c>
      <c r="B49" s="36" t="s">
        <v>471</v>
      </c>
      <c r="C49" s="32" t="n">
        <f aca="false">IFERROR(SQRT(C47^2*B7^2+(1-C47)^2*B9^2+2*C47*(1-C47)*B7*B9*B10),"")</f>
        <v>0.15</v>
      </c>
    </row>
    <row r="51" customFormat="false" ht="30" hidden="false" customHeight="true" outlineLevel="0" collapsed="false">
      <c r="A51" s="28" t="s">
        <v>241</v>
      </c>
      <c r="B51" s="11" t="str">
        <f aca="false">IF(C45="","",IF(OR(C44&lt;0,C44&gt;1),"The unconstrained minimum sits at w = "&amp;TEXT(C44,"0.0000")&amp;", which is OUTSIDE 0–1 — it would need SHORT SELLING. If you must stay long-only, the best you can do is w = "&amp;TEXT(C47,"0.0000")&amp;", giving a stdev of "&amp;TEXT(C49,"0.0000")&amp;" (that is simply the safer asset on its own).","Lowest possible risk is "&amp;TEXT(C45,"0.0000")&amp;", reached at w = "&amp;TEXT(C44,"0.0000")&amp;"."&amp;IF(C45&lt;MIN(B7,B9)," That is BELOW both individual assets ("&amp;TEXT(MIN(B7,B9),"0.0000")&amp;") — the portfolio effect: idiosyncratic randomness averages out."," At this correlation you cannot beat the safer asset alone.")))</f>
        <v>The unconstrained minimum sits at w = 1.0405, which is OUTSIDE 0–1 — it would need SHORT SELLING. If you must stay long-only, the best you can do is w = 1.0000, giving a stdev of 0.1500 (that is simply the safer asset on its own).</v>
      </c>
      <c r="C51" s="11"/>
    </row>
    <row r="53" customFormat="false" ht="24" hidden="false" customHeight="true" outlineLevel="0" collapsed="false">
      <c r="A53" s="29" t="s">
        <v>472</v>
      </c>
      <c r="B53" s="29"/>
      <c r="C53" s="29"/>
    </row>
    <row r="54" customFormat="false" ht="15" hidden="false" customHeight="false" outlineLevel="0" collapsed="false">
      <c r="A54" s="6" t="s">
        <v>473</v>
      </c>
    </row>
  </sheetData>
  <mergeCells count="27">
    <mergeCell ref="A1:H1"/>
    <mergeCell ref="A2:H2"/>
    <mergeCell ref="A4:C4"/>
    <mergeCell ref="A12:C12"/>
    <mergeCell ref="E12:H12"/>
    <mergeCell ref="E13:H13"/>
    <mergeCell ref="E14:H14"/>
    <mergeCell ref="E15:H15"/>
    <mergeCell ref="E16:H16"/>
    <mergeCell ref="E17:H17"/>
    <mergeCell ref="B18:C18"/>
    <mergeCell ref="E18:H18"/>
    <mergeCell ref="E19:H19"/>
    <mergeCell ref="A20:C20"/>
    <mergeCell ref="E20:H20"/>
    <mergeCell ref="E21:H21"/>
    <mergeCell ref="E22:H22"/>
    <mergeCell ref="E23:H23"/>
    <mergeCell ref="E24:H24"/>
    <mergeCell ref="E25:H25"/>
    <mergeCell ref="B27:C27"/>
    <mergeCell ref="A30:C30"/>
    <mergeCell ref="A31:C31"/>
    <mergeCell ref="B40:C40"/>
    <mergeCell ref="A43:C43"/>
    <mergeCell ref="B51:C51"/>
    <mergeCell ref="A53:C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16"/>
    <col collapsed="false" customWidth="true" hidden="false" outlineLevel="0" max="4" min="4" style="0" width="10"/>
    <col collapsed="false" customWidth="true" hidden="false" outlineLevel="0" max="5" min="5" style="0" width="40"/>
    <col collapsed="false" customWidth="true" hidden="false" outlineLevel="0" max="6" min="6" style="0" width="16"/>
    <col collapsed="false" customWidth="true" hidden="false" outlineLevel="0" max="7" min="7" style="0" width="32"/>
  </cols>
  <sheetData>
    <row r="1" customFormat="false" ht="27.75" hidden="false" customHeight="true" outlineLevel="0" collapsed="false">
      <c r="A1" s="1" t="s">
        <v>474</v>
      </c>
      <c r="B1" s="1"/>
      <c r="C1" s="1"/>
      <c r="D1" s="1"/>
      <c r="E1" s="1"/>
      <c r="F1" s="1"/>
      <c r="G1" s="1"/>
    </row>
    <row r="2" customFormat="false" ht="15" hidden="false" customHeight="true" outlineLevel="0" collapsed="false">
      <c r="A2" s="2" t="s">
        <v>475</v>
      </c>
      <c r="B2" s="2"/>
      <c r="C2" s="2"/>
      <c r="D2" s="2"/>
      <c r="E2" s="2"/>
      <c r="F2" s="2"/>
      <c r="G2" s="2"/>
    </row>
    <row r="4" customFormat="false" ht="18.75" hidden="false" customHeight="true" outlineLevel="0" collapsed="false">
      <c r="A4" s="15" t="s">
        <v>476</v>
      </c>
      <c r="B4" s="15"/>
      <c r="C4" s="15"/>
    </row>
    <row r="5" customFormat="false" ht="15" hidden="false" customHeight="false" outlineLevel="0" collapsed="false">
      <c r="A5" s="21" t="s">
        <v>477</v>
      </c>
      <c r="B5" s="25" t="n">
        <v>20</v>
      </c>
    </row>
    <row r="6" customFormat="false" ht="15" hidden="false" customHeight="false" outlineLevel="0" collapsed="false">
      <c r="A6" s="21" t="s">
        <v>478</v>
      </c>
      <c r="B6" s="25" t="n">
        <v>10</v>
      </c>
    </row>
    <row r="7" customFormat="false" ht="15" hidden="false" customHeight="false" outlineLevel="0" collapsed="false">
      <c r="A7" s="21" t="s">
        <v>479</v>
      </c>
      <c r="B7" s="25" t="n">
        <v>20</v>
      </c>
    </row>
    <row r="8" customFormat="false" ht="15" hidden="false" customHeight="false" outlineLevel="0" collapsed="false">
      <c r="A8" s="21" t="s">
        <v>480</v>
      </c>
      <c r="B8" s="25" t="n">
        <v>10</v>
      </c>
    </row>
    <row r="9" customFormat="false" ht="15" hidden="false" customHeight="false" outlineLevel="0" collapsed="false">
      <c r="A9" s="21" t="s">
        <v>174</v>
      </c>
      <c r="B9" s="25" t="n">
        <v>0.2</v>
      </c>
    </row>
    <row r="10" customFormat="false" ht="15" hidden="false" customHeight="false" outlineLevel="0" collapsed="false">
      <c r="A10" s="21" t="s">
        <v>481</v>
      </c>
      <c r="B10" s="25" t="n">
        <v>3</v>
      </c>
      <c r="C10" s="6" t="s">
        <v>482</v>
      </c>
    </row>
    <row r="12" customFormat="false" ht="18.75" hidden="false" customHeight="true" outlineLevel="0" collapsed="false">
      <c r="A12" s="15" t="s">
        <v>483</v>
      </c>
      <c r="B12" s="15"/>
      <c r="C12" s="15"/>
    </row>
    <row r="13" customFormat="false" ht="15" hidden="false" customHeight="false" outlineLevel="0" collapsed="false">
      <c r="A13" s="35" t="s">
        <v>232</v>
      </c>
      <c r="B13" s="36" t="s">
        <v>484</v>
      </c>
      <c r="C13" s="23" t="n">
        <f aca="false">B5+B10*B6</f>
        <v>50</v>
      </c>
    </row>
    <row r="14" customFormat="false" ht="15" hidden="false" customHeight="false" outlineLevel="0" collapsed="false">
      <c r="A14" s="35" t="s">
        <v>235</v>
      </c>
      <c r="B14" s="36" t="s">
        <v>485</v>
      </c>
      <c r="C14" s="23" t="n">
        <f aca="false">B7+B10*B8</f>
        <v>50</v>
      </c>
    </row>
    <row r="15" customFormat="false" ht="15" hidden="false" customHeight="false" outlineLevel="0" collapsed="false">
      <c r="A15" s="35" t="s">
        <v>238</v>
      </c>
      <c r="B15" s="36" t="s">
        <v>486</v>
      </c>
      <c r="C15" s="23" t="n">
        <f aca="false">C13+C14</f>
        <v>100</v>
      </c>
    </row>
    <row r="17" customFormat="false" ht="18.75" hidden="false" customHeight="true" outlineLevel="0" collapsed="false">
      <c r="A17" s="15" t="s">
        <v>487</v>
      </c>
      <c r="B17" s="15"/>
      <c r="C17" s="15"/>
    </row>
    <row r="18" customFormat="false" ht="15" hidden="false" customHeight="false" outlineLevel="0" collapsed="false">
      <c r="A18" s="35" t="s">
        <v>341</v>
      </c>
      <c r="B18" s="36" t="s">
        <v>488</v>
      </c>
      <c r="C18" s="23" t="n">
        <f aca="false">B5+B7</f>
        <v>40</v>
      </c>
    </row>
    <row r="19" customFormat="false" ht="15" hidden="false" customHeight="false" outlineLevel="0" collapsed="false">
      <c r="A19" s="35" t="s">
        <v>380</v>
      </c>
      <c r="B19" s="36" t="s">
        <v>489</v>
      </c>
      <c r="C19" s="32" t="n">
        <f aca="false">B6^2+B8^2+2*B6*B8*B9</f>
        <v>240</v>
      </c>
    </row>
    <row r="20" customFormat="false" ht="15" hidden="false" customHeight="false" outlineLevel="0" collapsed="false">
      <c r="A20" s="35" t="s">
        <v>382</v>
      </c>
      <c r="B20" s="36" t="s">
        <v>490</v>
      </c>
      <c r="C20" s="32" t="n">
        <f aca="false">IFERROR(SQRT(C19),"")</f>
        <v>15.4919333848297</v>
      </c>
    </row>
    <row r="21" customFormat="false" ht="15" hidden="false" customHeight="false" outlineLevel="0" collapsed="false">
      <c r="A21" s="35" t="s">
        <v>384</v>
      </c>
      <c r="B21" s="36" t="s">
        <v>491</v>
      </c>
      <c r="C21" s="23" t="n">
        <f aca="false">IFERROR(C18+B10*C20,"")</f>
        <v>86.475800154489</v>
      </c>
    </row>
    <row r="23" customFormat="false" ht="18.75" hidden="false" customHeight="true" outlineLevel="0" collapsed="false">
      <c r="A23" s="15" t="s">
        <v>492</v>
      </c>
      <c r="B23" s="15"/>
      <c r="C23" s="15"/>
    </row>
    <row r="24" customFormat="false" ht="15" hidden="false" customHeight="false" outlineLevel="0" collapsed="false">
      <c r="A24" s="35" t="s">
        <v>386</v>
      </c>
      <c r="B24" s="36" t="s">
        <v>493</v>
      </c>
      <c r="C24" s="23" t="n">
        <f aca="false">C15-C21</f>
        <v>13.524199845511</v>
      </c>
    </row>
    <row r="25" customFormat="false" ht="15" hidden="false" customHeight="false" outlineLevel="0" collapsed="false">
      <c r="A25" s="35" t="s">
        <v>397</v>
      </c>
      <c r="B25" s="36" t="s">
        <v>494</v>
      </c>
      <c r="C25" s="51" t="n">
        <f aca="false">IFERROR((C15-C21)/C15,"")</f>
        <v>0.13524199845511</v>
      </c>
    </row>
    <row r="27" customFormat="false" ht="30" hidden="false" customHeight="true" outlineLevel="0" collapsed="false">
      <c r="A27" s="28" t="s">
        <v>241</v>
      </c>
      <c r="B27" s="11" t="str">
        <f aca="false">IF(C21="","","Separate: "&amp;TEXT(C13,"0.0")&amp;" + "&amp;TEXT(C14,"0.0")&amp;" = "&amp;TEXT(C15,"0.0")&amp;" units.   Pooled: "&amp;TEXT(C21,"0.0")&amp;" units (round up to "&amp;TEXT(ROUNDUP(C21,0),"0")&amp;").   Pooling saves "&amp;TEXT(C24,"0.0")&amp;" units, or "&amp;TEXT(C25,"0.0%")&amp;".")</f>
        <v>Separate: 50.0 + 50.0 = 100.0 units.   Pooled: 86.5 units (round up to 87).   Pooling saves 13.5 units, or 13.5%.</v>
      </c>
      <c r="C27" s="11"/>
    </row>
    <row r="29" customFormat="false" ht="30" hidden="false" customHeight="true" outlineLevel="0" collapsed="false">
      <c r="A29" s="28" t="s">
        <v>495</v>
      </c>
      <c r="B29" s="11" t="str">
        <f aca="false">"The pooled stdev is "&amp;TEXT(C20,"0.00")&amp;", which is LESS than "&amp;TEXT(B6+B8,"0.00")&amp;" (the two stdevs added). Peaks in one demand cancel troughs in the other, so less safety cover is needed. The lower the correlation, the bigger the saving; at Corr = +1 there is no saving at all."</f>
        <v>The pooled stdev is 15.49, which is LESS than 20.00 (the two stdevs added). Peaks in one demand cancel troughs in the other, so less safety cover is needed. The lower the correlation, the bigger the saving; at Corr = +1 there is no saving at all.</v>
      </c>
      <c r="C29" s="11"/>
    </row>
    <row r="31" customFormat="false" ht="15" hidden="false" customHeight="false" outlineLevel="0" collapsed="false">
      <c r="A31" s="6" t="s">
        <v>496</v>
      </c>
    </row>
    <row r="33" customFormat="false" ht="18.75" hidden="false" customHeight="true" outlineLevel="0" collapsed="false">
      <c r="A33" s="15" t="s">
        <v>497</v>
      </c>
      <c r="B33" s="15"/>
      <c r="C33" s="15"/>
    </row>
    <row r="34" customFormat="false" ht="15" hidden="false" customHeight="false" outlineLevel="0" collapsed="false">
      <c r="A34" s="21" t="s">
        <v>498</v>
      </c>
      <c r="B34" s="38" t="n">
        <v>0.95</v>
      </c>
      <c r="C34" s="6" t="s">
        <v>499</v>
      </c>
    </row>
    <row r="35" customFormat="false" ht="15" hidden="false" customHeight="false" outlineLevel="0" collapsed="false">
      <c r="A35" s="35" t="s">
        <v>398</v>
      </c>
      <c r="B35" s="36" t="s">
        <v>500</v>
      </c>
      <c r="C35" s="23" t="n">
        <f aca="false">IFERROR(NORMSINV(B34),"")</f>
        <v>1.64485362695147</v>
      </c>
    </row>
    <row r="36" customFormat="false" ht="15" hidden="false" customHeight="false" outlineLevel="0" collapsed="false">
      <c r="A36" s="35" t="s">
        <v>401</v>
      </c>
      <c r="B36" s="36" t="s">
        <v>501</v>
      </c>
      <c r="C36" s="23" t="n">
        <f aca="false">IFERROR(NORMINV(B34,B5,B6)+NORMINV(B34,B7,B8),"")</f>
        <v>72.8970725390294</v>
      </c>
    </row>
    <row r="37" customFormat="false" ht="15" hidden="false" customHeight="false" outlineLevel="0" collapsed="false">
      <c r="A37" s="35" t="s">
        <v>406</v>
      </c>
      <c r="B37" s="36" t="s">
        <v>502</v>
      </c>
      <c r="C37" s="23" t="n">
        <f aca="false">IFERROR(NORMINV(B34,C18,C20),"")</f>
        <v>65.4819628165277</v>
      </c>
    </row>
    <row r="38" customFormat="false" ht="15" hidden="false" customHeight="false" outlineLevel="0" collapsed="false">
      <c r="A38" s="35" t="s">
        <v>416</v>
      </c>
      <c r="B38" s="36" t="s">
        <v>503</v>
      </c>
      <c r="C38" s="22" t="n">
        <f aca="false">IFERROR(ROUNDUP(NORMINV(B34,C18,C20),0),"")</f>
        <v>66</v>
      </c>
    </row>
  </sheetData>
  <mergeCells count="9">
    <mergeCell ref="A1:G1"/>
    <mergeCell ref="A2:G2"/>
    <mergeCell ref="A4:C4"/>
    <mergeCell ref="A12:C12"/>
    <mergeCell ref="A17:C17"/>
    <mergeCell ref="A23:C23"/>
    <mergeCell ref="B27:C27"/>
    <mergeCell ref="B29:C29"/>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2026-09-17T01:48:40Z</dcterms:created>
  <dc:creator>openpyxl</dc:creator>
  <dc:description/>
  <dc:language>en-US</dc:language>
  <cp:lastModifiedBy/>
  <dcterms:modified xsi:type="dcterms:W3CDTF">2026-09-17T01:48:41Z</dcterms:modified>
  <cp:revision>0</cp:revision>
  <dc:subject/>
  <dc:title>B6100 Guided Solver</dc:title>
</cp:coreProperties>
</file>

<file path=docProps/custom.xml><?xml version="1.0" encoding="utf-8"?>
<Properties xmlns="http://schemas.openxmlformats.org/officeDocument/2006/custom-properties" xmlns:vt="http://schemas.openxmlformats.org/officeDocument/2006/docPropsVTypes"/>
</file>