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1 Descriptive" sheetId="2" state="visible" r:id="rId4"/>
    <sheet name="2 Z &amp; Percentile" sheetId="3" state="visible" r:id="rId5"/>
    <sheet name="3 Correlation" sheetId="4" state="visible" r:id="rId6"/>
    <sheet name="4 Discrete RV" sheetId="5" state="visible" r:id="rId7"/>
    <sheet name="5 Tree &amp; Bayes" sheetId="6" state="visible" r:id="rId8"/>
    <sheet name="6 SAXBY aX+bY" sheetId="7" state="visible" r:id="rId9"/>
    <sheet name="7 Portfolio" sheetId="8" state="visible" r:id="rId10"/>
    <sheet name="8 Normal" sheetId="9" state="visible" r:id="rId11"/>
    <sheet name="9 Normal+SAXBY" sheetId="10" state="visible" r:id="rId12"/>
    <sheet name="10 Resource Pooling" sheetId="11" state="visible" r:id="rId13"/>
    <sheet name="Z-Tabl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<sst xmlns="http://schemas.openxmlformats.org/spreadsheetml/2006/main" count="663" uniqueCount="588">
  <si>
    <t xml:space="preserve">B6100 Managerial Statistics  -  Midterm Calculator</t>
  </si>
  <si>
    <t xml:space="preserve">Boaz Galinson | Lectures 1-5 | Built 17 Sep 2026 | Type ONLY in gold cells. Everything else is a live formula.</t>
  </si>
  <si>
    <t xml:space="preserve">HOW TO USE THIS WORKBOOK</t>
  </si>
  <si>
    <t xml:space="preserve">Gold cells (blue text)</t>
  </si>
  <si>
    <t xml:space="preserve">INPUTS - this is where you type.</t>
  </si>
  <si>
    <t xml:space="preserve">Grey cells</t>
  </si>
  <si>
    <t xml:space="preserve">Intermediate results - do not touch.</t>
  </si>
  <si>
    <t xml:space="preserve">Green cells</t>
  </si>
  <si>
    <t xml:space="preserve">THE ANSWER to the standard exam question.</t>
  </si>
  <si>
    <t xml:space="preserve">Pink cells</t>
  </si>
  <si>
    <t xml:space="preserve">Warnings / traps.</t>
  </si>
  <si>
    <t xml:space="preserve">Every sheet is PRE-FILLED with the worked example from the lecture slides, and the </t>
  </si>
  <si>
    <t xml:space="preserve">expected answer is written beside it. Change the gold inputs to your exam numbers.</t>
  </si>
  <si>
    <t xml:space="preserve">WHICH SHEET DO I NEED?</t>
  </si>
  <si>
    <t xml:space="preserve">Sheet</t>
  </si>
  <si>
    <t xml:space="preserve">Use it when the question asks...</t>
  </si>
  <si>
    <t xml:space="preserve">Lecture</t>
  </si>
  <si>
    <t xml:space="preserve">1 Descriptive</t>
  </si>
  <si>
    <t xml:space="preserve">You are GIVEN RAW DATA. Mean, median, stdev, skew, kurtosis, percentiles.</t>
  </si>
  <si>
    <t xml:space="preserve">L1</t>
  </si>
  <si>
    <t xml:space="preserve">2 Z &amp; Percentile</t>
  </si>
  <si>
    <t xml:space="preserve">'What percentile?' 'Which was more unusual?' 'What score for top 10%?'</t>
  </si>
  <si>
    <t xml:space="preserve">3 Correlation</t>
  </si>
  <si>
    <t xml:space="preserve">You are GIVEN TWO COLUMNS of data and need Corr / covariance / slope.</t>
  </si>
  <si>
    <t xml:space="preserve">L2</t>
  </si>
  <si>
    <t xml:space="preserve">4 Discrete RV</t>
  </si>
  <si>
    <t xml:space="preserve">A table of outcomes + probabilities. E(X), V(X), stdev. Also Y = a + bX.</t>
  </si>
  <si>
    <t xml:space="preserve">L3</t>
  </si>
  <si>
    <t xml:space="preserve">5 Tree &amp; Bayes</t>
  </si>
  <si>
    <t xml:space="preserve">Multi-step experiment, 'at least one', default over N years, P(A|B).</t>
  </si>
  <si>
    <t xml:space="preserve">6 SAXBY aX+bY</t>
  </si>
  <si>
    <t xml:space="preserve">Combine TWO random variables. E and stdev of aX+bY, X+Y, X-Y.</t>
  </si>
  <si>
    <t xml:space="preserve">L4</t>
  </si>
  <si>
    <t xml:space="preserve">7 Portfolio</t>
  </si>
  <si>
    <t xml:space="preserve">Weights w / 1-w. Target return, target risk, minimum-risk, frontier chart.</t>
  </si>
  <si>
    <t xml:space="preserve">8 Normal</t>
  </si>
  <si>
    <t xml:space="preserve">One normal variable. P(X&lt;x), P(X&gt;x), P(a&lt;X&lt;b), or reverse (NORMINV).</t>
  </si>
  <si>
    <t xml:space="preserve">L5</t>
  </si>
  <si>
    <t xml:space="preserve">9 Normal+SAXBY</t>
  </si>
  <si>
    <t xml:space="preserve">THE BIG ONE. Combine X and Y, THEN a normal probability. P(X&gt;Y), stock level.</t>
  </si>
  <si>
    <t xml:space="preserve">10 Resource Pool</t>
  </si>
  <si>
    <t xml:space="preserve">Pooling demand / GPUs / inventory. 'k stdevs above the mean' capacity.</t>
  </si>
  <si>
    <t xml:space="preserve">L4/L5</t>
  </si>
  <si>
    <t xml:space="preserve">Z-Table</t>
  </si>
  <si>
    <t xml:space="preserve">Backup standard normal table if you would rather read it off.</t>
  </si>
  <si>
    <t xml:space="preserve">THE FORMULA SHEET (everything examinable)</t>
  </si>
  <si>
    <t xml:space="preserve">What</t>
  </si>
  <si>
    <t xml:space="preserve">Excel / formula</t>
  </si>
  <si>
    <t xml:space="preserve">Lec</t>
  </si>
  <si>
    <t xml:space="preserve">Sample mean</t>
  </si>
  <si>
    <t xml:space="preserve">=AVERAGE(range)</t>
  </si>
  <si>
    <t xml:space="preserve">Sample stdev</t>
  </si>
  <si>
    <t xml:space="preserve">=STDEV(range)      [= STDEV.S]</t>
  </si>
  <si>
    <t xml:space="preserve">Population stdev</t>
  </si>
  <si>
    <t xml:space="preserve">=STDEVP(range)     [= STDEV.P]</t>
  </si>
  <si>
    <t xml:space="preserve">Z-score</t>
  </si>
  <si>
    <t xml:space="preserve">z = (x - mean) / stdev</t>
  </si>
  <si>
    <t xml:space="preserve">Percentile from z</t>
  </si>
  <si>
    <t xml:space="preserve">=NORMSDIST(z)</t>
  </si>
  <si>
    <t xml:space="preserve">Skewness</t>
  </si>
  <si>
    <t xml:space="preserve">=SKEW(range)   |skew| &gt;= 0.5 is significant</t>
  </si>
  <si>
    <t xml:space="preserve">Kurtosis</t>
  </si>
  <si>
    <t xml:space="preserve">=KURT(range)  -&gt; EXCESS. Add 3 for the lecture's scale.</t>
  </si>
  <si>
    <t xml:space="preserve">Correlation</t>
  </si>
  <si>
    <t xml:space="preserve">=CORREL(Xrange, Yrange)                -1 &lt;= Corr &lt;= 1</t>
  </si>
  <si>
    <t xml:space="preserve">Expected value</t>
  </si>
  <si>
    <t xml:space="preserve">E(X) = SUM( x * P(X=x) )</t>
  </si>
  <si>
    <t xml:space="preserve">Variance of a RV</t>
  </si>
  <si>
    <t xml:space="preserve">V(X) = SUM( P(X=x) * (x - E(X))^2 )</t>
  </si>
  <si>
    <t xml:space="preserve">Linear transform</t>
  </si>
  <si>
    <t xml:space="preserve">E(a+bX) = a + b*E(X)   ;   stdev(a+bX) = |b| * stdev(X)</t>
  </si>
  <si>
    <t xml:space="preserve">Portfolio return</t>
  </si>
  <si>
    <t xml:space="preserve">E(aX+bY) = a*E(X) + b*E(Y)</t>
  </si>
  <si>
    <t xml:space="preserve">SAXBY (variance)</t>
  </si>
  <si>
    <t xml:space="preserve">V(aX+bY) = a^2*V(X) + b^2*V(Y) + 2*a*b*sdX*sdY*Corr</t>
  </si>
  <si>
    <t xml:space="preserve">Min-variance weight</t>
  </si>
  <si>
    <t xml:space="preserve">w* = (sdY^2 - Corr*sdX*sdY) / (sdX^2 + sdY^2 - 2*Corr*sdX*sdY)</t>
  </si>
  <si>
    <t xml:space="preserve">Normal, left tail</t>
  </si>
  <si>
    <t xml:space="preserve">P(X&lt;x) = NORMDIST(x, mean, stdev, TRUE)</t>
  </si>
  <si>
    <t xml:space="preserve">Normal, right tail</t>
  </si>
  <si>
    <t xml:space="preserve">P(X&gt;x) = 1 - NORMDIST(x, mean, stdev, TRUE)</t>
  </si>
  <si>
    <t xml:space="preserve">Normal, between</t>
  </si>
  <si>
    <t xml:space="preserve">P(a&lt;X&lt;b) = NORMDIST(b,..) - NORMDIST(a,..)</t>
  </si>
  <si>
    <t xml:space="preserve">Normal, reverse</t>
  </si>
  <si>
    <t xml:space="preserve">x such that P(X&lt;x)=p   -&gt;   =NORMINV(p, mean, stdev)</t>
  </si>
  <si>
    <t xml:space="preserve">Standard normal</t>
  </si>
  <si>
    <t xml:space="preserve">=NORMSDIST(z) and =NORMSINV(p)</t>
  </si>
  <si>
    <t xml:space="preserve">TRAPS THAT COST MARKS</t>
  </si>
  <si>
    <t xml:space="preserve">!</t>
  </si>
  <si>
    <t xml:space="preserve">KURT() in Excel is EXCESS kurtosis (Normal = 0). The slides use the scale where Normal = 3. Add 3.</t>
  </si>
  <si>
    <t xml:space="preserve">STDEV = sample (divide by n-1). STDEVP = population (divide by n). The course default is STDEV.</t>
  </si>
  <si>
    <t xml:space="preserve">Corr = 0 means NO LINEAR relationship. It does NOT mean independent.</t>
  </si>
  <si>
    <t xml:space="preserve">Correlation is NOT the slope, and NOT causation.</t>
  </si>
  <si>
    <t xml:space="preserve">For X - Y use a = 1 and b = -1. The cross term 2ab(...) then SUBTRACTS.</t>
  </si>
  <si>
    <t xml:space="preserve">NORMDIST always gives the area to the LEFT. For 'greater than', do 1 - NORMDIST(...).</t>
  </si>
  <si>
    <t xml:space="preserve">'Top 10%' means P(X&lt;x) = 0.90, so use NORMINV(0.90, ...) not NORMINV(0.10, ...).</t>
  </si>
  <si>
    <t xml:space="preserve">Keep mean and stdev on the SAME scale: either both decimals (0.15) or both percents (15).</t>
  </si>
  <si>
    <t xml:space="preserve">stdev(aX+bY) is NOT a*sdX + b*sdY. It is the square root of the SAXBY variance.</t>
  </si>
  <si>
    <t xml:space="preserve">Inventory / GPU answers must be ROUNDED UP to a whole unit.</t>
  </si>
  <si>
    <t xml:space="preserve">1 - Descriptive Statistics from Raw Data</t>
  </si>
  <si>
    <t xml:space="preserve">Lecture 1. Paste your data into column A from row 40 down. Every box below updates automatically.</t>
  </si>
  <si>
    <t xml:space="preserve">CENTRAL TENDENCY</t>
  </si>
  <si>
    <t xml:space="preserve">n  (count)</t>
  </si>
  <si>
    <t xml:space="preserve">how many numbers you pasted</t>
  </si>
  <si>
    <t xml:space="preserve">Sum</t>
  </si>
  <si>
    <t xml:space="preserve">Mean  (x-bar)</t>
  </si>
  <si>
    <t xml:space="preserve">=AVERAGE</t>
  </si>
  <si>
    <t xml:space="preserve">Median</t>
  </si>
  <si>
    <t xml:space="preserve">=MEDIAN - resistant to outliers</t>
  </si>
  <si>
    <t xml:space="preserve">Mode</t>
  </si>
  <si>
    <t xml:space="preserve">most frequent value</t>
  </si>
  <si>
    <t xml:space="preserve">DISPERSION  (how much can we trust the mean?)</t>
  </si>
  <si>
    <t xml:space="preserve">Sample variance  S^2</t>
  </si>
  <si>
    <t xml:space="preserve">=VAR.S  (divides by n-1)</t>
  </si>
  <si>
    <t xml:space="preserve">Sample stdev  S</t>
  </si>
  <si>
    <t xml:space="preserve">=STDEV.S  &lt;-- COURSE DEFAULT</t>
  </si>
  <si>
    <t xml:space="preserve">Population variance</t>
  </si>
  <si>
    <t xml:space="preserve">=VAR.P  (divides by n) - only if data IS the population</t>
  </si>
  <si>
    <t xml:space="preserve">=STDEV.P</t>
  </si>
  <si>
    <t xml:space="preserve">Min</t>
  </si>
  <si>
    <t xml:space="preserve">Max</t>
  </si>
  <si>
    <t xml:space="preserve">Range</t>
  </si>
  <si>
    <t xml:space="preserve">Coefficient of variation</t>
  </si>
  <si>
    <t xml:space="preserve">stdev / mean - risk per unit of return</t>
  </si>
  <si>
    <t xml:space="preserve">SHAPE  -  how does the data deviate from Normal?</t>
  </si>
  <si>
    <t xml:space="preserve">Skewness  =SKEW()</t>
  </si>
  <si>
    <t xml:space="preserve">|skew| &gt;= 0.5 is significant</t>
  </si>
  <si>
    <t xml:space="preserve">  -&gt; interpretation</t>
  </si>
  <si>
    <t xml:space="preserve">Skew cross-check (Pearson)</t>
  </si>
  <si>
    <t xml:space="preserve">3*(Mean - Median)/Stdev  - the slide formula</t>
  </si>
  <si>
    <t xml:space="preserve">Excess kurtosis =KURT()</t>
  </si>
  <si>
    <t xml:space="preserve">Excel scale: Normal = 0</t>
  </si>
  <si>
    <t xml:space="preserve">Kurtosis, lecture scale</t>
  </si>
  <si>
    <t xml:space="preserve">Normal = 3. Above 3 = heavier tails.</t>
  </si>
  <si>
    <t xml:space="preserve">Mean &gt; Median  =&gt;  right / positive skew.    Mean &lt; Median  =&gt;  left / negative skew.</t>
  </si>
  <si>
    <t xml:space="preserve">PERCENTILES  &amp;  Z-SCORE OF ONE OBSERVATION</t>
  </si>
  <si>
    <t xml:space="preserve">Percentile you want (0-1)</t>
  </si>
  <si>
    <t xml:space="preserve">e.g. 0.9 = the 90th percentile</t>
  </si>
  <si>
    <t xml:space="preserve">Value at that percentile</t>
  </si>
  <si>
    <t xml:space="preserve">=PERCENTILE</t>
  </si>
  <si>
    <t xml:space="preserve">Q1 (25th)</t>
  </si>
  <si>
    <t xml:space="preserve">Q3 (75th)</t>
  </si>
  <si>
    <t xml:space="preserve">An observation x</t>
  </si>
  <si>
    <t xml:space="preserve">type any value to score it against this data</t>
  </si>
  <si>
    <t xml:space="preserve">Its z-score</t>
  </si>
  <si>
    <t xml:space="preserve">(x - mean) / stdev</t>
  </si>
  <si>
    <t xml:space="preserve">Its percentile IF Normal</t>
  </si>
  <si>
    <t xml:space="preserve">PASTE DATA BELOW (column A)</t>
  </si>
  <si>
    <t xml:space="preserve">Pre-filled with the Lecture 1 example: 2, 5, 7, 9, 10  -&gt;  mean 6.6, stdev 3.21</t>
  </si>
  <si>
    <t xml:space="preserve">2 - Z-Scores, Percentiles and Comparisons</t>
  </si>
  <si>
    <t xml:space="preserve">Lecture 1. 'What percentile am I?'  'Which outcome was more unusual?'  'What score do I need for the top 10%?'</t>
  </si>
  <si>
    <t xml:space="preserve">A.  ONE OBSERVATION  -&gt;  PERCENTILE</t>
  </si>
  <si>
    <t xml:space="preserve">Observation  x</t>
  </si>
  <si>
    <t xml:space="preserve">pre-filled: Lecture 1 exam-score example</t>
  </si>
  <si>
    <t xml:space="preserve">Mean  (mu)</t>
  </si>
  <si>
    <t xml:space="preserve">Stdev (sigma)</t>
  </si>
  <si>
    <t xml:space="preserve">Percentile  P(X&lt;x)</t>
  </si>
  <si>
    <t xml:space="preserve">=NORMSDIST(z)   [same as NORMDIST(x,mu,sd,1)]</t>
  </si>
  <si>
    <t xml:space="preserve">% scoring BELOW you</t>
  </si>
  <si>
    <t xml:space="preserve">% scoring ABOVE you</t>
  </si>
  <si>
    <t xml:space="preserve">the right tail</t>
  </si>
  <si>
    <t xml:space="preserve">In words</t>
  </si>
  <si>
    <t xml:space="preserve">Lecture check: x=90, mu=75, sd=10  -&gt;  z = 1.5, percentile = 0.9332.   If mu=80 instead: z = 1.0, percentile = 0.8413.</t>
  </si>
  <si>
    <t xml:space="preserve">B.  COMPARE TWO OBSERVATIONS FROM DIFFERENT DISTRIBUTIONS</t>
  </si>
  <si>
    <t xml:space="preserve">'Which was more exceptional?' - Shanghai vs NYSE, Student A vs Student B, 2024 course vs 2023 course.</t>
  </si>
  <si>
    <t xml:space="preserve">Observation x</t>
  </si>
  <si>
    <t xml:space="preserve">Mean</t>
  </si>
  <si>
    <t xml:space="preserve">Stdev</t>
  </si>
  <si>
    <t xml:space="preserve">Percentile</t>
  </si>
  <si>
    <t xml:space="preserve">Case A  (e.g. Shanghai)</t>
  </si>
  <si>
    <t xml:space="preserve">Case B  (e.g. NYSE)</t>
  </si>
  <si>
    <t xml:space="preserve">MORE EXCEPTIONAL</t>
  </si>
  <si>
    <t xml:space="preserve">Unusualness = how many stdevs from ITS OWN mean. Compare |z|, never the raw values.</t>
  </si>
  <si>
    <t xml:space="preserve">C.  REVERSE:  PERCENTILE  -&gt;  SCORE   (what do I need for the top 10%?)</t>
  </si>
  <si>
    <t xml:space="preserve">pre-filled: Lecture 5 'High Pass' example</t>
  </si>
  <si>
    <t xml:space="preserve">I want the TOP  ___  (as a decimal)</t>
  </si>
  <si>
    <t xml:space="preserve">0.10 = top 10%</t>
  </si>
  <si>
    <t xml:space="preserve">So P(X &lt; x) must equal</t>
  </si>
  <si>
    <t xml:space="preserve">&lt;-- this is the number NORMINV needs</t>
  </si>
  <si>
    <t xml:space="preserve">Required score x</t>
  </si>
  <si>
    <t xml:space="preserve">=NORMINV(0.90, 80, 10)</t>
  </si>
  <si>
    <t xml:space="preserve">Required z</t>
  </si>
  <si>
    <t xml:space="preserve">=NORMSINV(0.90) = 1.28</t>
  </si>
  <si>
    <t xml:space="preserve">Lecture check: mu=80, sd=10, top 10%  -&gt;  x = 92.8  (z = 1.28).</t>
  </si>
  <si>
    <t xml:space="preserve">Or: I want the BOTTOM ___ </t>
  </si>
  <si>
    <t xml:space="preserve">0.05 = worst 5%  (Value-at-Risk style)</t>
  </si>
  <si>
    <t xml:space="preserve">Cut-off value x</t>
  </si>
  <si>
    <t xml:space="preserve">=NORMINV(0.05, mu, sd)</t>
  </si>
  <si>
    <t xml:space="preserve">Lecture check: set mu=7 and sd=10 above, then bottom 5%  -&gt;  -9.45  (you can lose 9.45% with 5% probability).</t>
  </si>
  <si>
    <t xml:space="preserve">D.  THE EMPIRICAL RULE  (every Normal distribution)</t>
  </si>
  <si>
    <t xml:space="preserve">Interval</t>
  </si>
  <si>
    <t xml:space="preserve">Lower</t>
  </si>
  <si>
    <t xml:space="preserve">Upper</t>
  </si>
  <si>
    <t xml:space="preserve">Probability inside</t>
  </si>
  <si>
    <t xml:space="preserve">Probability outside</t>
  </si>
  <si>
    <t xml:space="preserve">mu +/- 1 sigma</t>
  </si>
  <si>
    <t xml:space="preserve">mu +/- 2 sigma</t>
  </si>
  <si>
    <t xml:space="preserve">mu +/- 3 sigma</t>
  </si>
  <si>
    <t xml:space="preserve">68.3%  /  95.4%  /  99.7%   - uses the mean and stdev you typed in section C above.</t>
  </si>
  <si>
    <t xml:space="preserve">3 - Correlation between Two Variables</t>
  </si>
  <si>
    <t xml:space="preserve">Lecture 2. Paste X into column A and Y into column B, from row 30 down.</t>
  </si>
  <si>
    <t xml:space="preserve">PASTE TWO COLUMNS BELOW, THEN READ THE ANSWERS HERE</t>
  </si>
  <si>
    <t xml:space="preserve">THREE TRAPS</t>
  </si>
  <si>
    <t xml:space="preserve">n (pairs)</t>
  </si>
  <si>
    <t xml:space="preserve">must match on both columns</t>
  </si>
  <si>
    <t xml:space="preserve">Corr = 0 means NO LINEAR relationship. Variables can still be perfectly dependent (a circle, a parabola).</t>
  </si>
  <si>
    <t xml:space="preserve">Mean of X</t>
  </si>
  <si>
    <t xml:space="preserve">Correlation is NOT the slope. Corr 0.30 does NOT mean '30 cents per dollar'.</t>
  </si>
  <si>
    <t xml:space="preserve">Mean of Y</t>
  </si>
  <si>
    <t xml:space="preserve">Correlation is NOT causation. Foot size and education correlate 0.849.</t>
  </si>
  <si>
    <t xml:space="preserve">Stdev of X</t>
  </si>
  <si>
    <t xml:space="preserve">=STDEV.S</t>
  </si>
  <si>
    <t xml:space="preserve">Correlations BREAK DOWN in crises (LTCM, 1998).</t>
  </si>
  <si>
    <t xml:space="preserve">Stdev of Y</t>
  </si>
  <si>
    <t xml:space="preserve">CORRELATION  Corr(X,Y)</t>
  </si>
  <si>
    <t xml:space="preserve">=CORREL(...)   -1 &lt;= Corr &lt;= 1</t>
  </si>
  <si>
    <t xml:space="preserve">R-squared</t>
  </si>
  <si>
    <t xml:space="preserve">= Corr^2. Share of variation explained.</t>
  </si>
  <si>
    <t xml:space="preserve">Covariance (sample)</t>
  </si>
  <si>
    <t xml:space="preserve">Corr * sdX * sdY</t>
  </si>
  <si>
    <t xml:space="preserve">Covariance (popn)</t>
  </si>
  <si>
    <t xml:space="preserve">=COVAR</t>
  </si>
  <si>
    <t xml:space="preserve">Slope of best-fit line</t>
  </si>
  <si>
    <t xml:space="preserve">NOT the correlation!</t>
  </si>
  <si>
    <t xml:space="preserve">Intercept</t>
  </si>
  <si>
    <t xml:space="preserve">Regression line</t>
  </si>
  <si>
    <t xml:space="preserve">INTERPRETATION</t>
  </si>
  <si>
    <t xml:space="preserve">CONVERTER  (no raw data? use this)</t>
  </si>
  <si>
    <t xml:space="preserve">Corr</t>
  </si>
  <si>
    <t xml:space="preserve">sd X</t>
  </si>
  <si>
    <t xml:space="preserve">sd Y</t>
  </si>
  <si>
    <t xml:space="preserve">=&gt; Covariance</t>
  </si>
  <si>
    <t xml:space="preserve">Cov = Corr * sdX * sdY</t>
  </si>
  <si>
    <t xml:space="preserve">Given Cov instead:</t>
  </si>
  <si>
    <t xml:space="preserve">=&gt; Corr</t>
  </si>
  <si>
    <t xml:space="preserve">Corr = Cov / (sdX * sdY)</t>
  </si>
  <si>
    <t xml:space="preserve">X</t>
  </si>
  <si>
    <t xml:space="preserve">Y</t>
  </si>
  <si>
    <t xml:space="preserve">&lt;- demo data, overwrite it</t>
  </si>
  <si>
    <t xml:space="preserve">4 - Discrete Random Variable:  E(X), V(X), Stdev</t>
  </si>
  <si>
    <t xml:space="preserve">Lecture 3. Type outcomes and probabilities in the gold table. Optional payoff column handles bonus / profit questions.</t>
  </si>
  <si>
    <t xml:space="preserve">THE PROBABILITY DISTRIBUTION</t>
  </si>
  <si>
    <t xml:space="preserve">MAIN TABLE  -  X itself</t>
  </si>
  <si>
    <t xml:space="preserve">OPTIONAL  -  a payoff g(x) on the SAME probabilities</t>
  </si>
  <si>
    <t xml:space="preserve">RESULTS</t>
  </si>
  <si>
    <t xml:space="preserve">x  (outcome)</t>
  </si>
  <si>
    <t xml:space="preserve">P(X=x)</t>
  </si>
  <si>
    <t xml:space="preserve">x * P</t>
  </si>
  <si>
    <t xml:space="preserve">(x-E(X))^2 * P</t>
  </si>
  <si>
    <t xml:space="preserve">g(x)  payoff</t>
  </si>
  <si>
    <t xml:space="preserve">g * P</t>
  </si>
  <si>
    <t xml:space="preserve">(g-E(g))^2 * P</t>
  </si>
  <si>
    <t xml:space="preserve">Sum of probabilities</t>
  </si>
  <si>
    <t xml:space="preserve">MUST equal 1</t>
  </si>
  <si>
    <t xml:space="preserve">E(X)   =  mu</t>
  </si>
  <si>
    <t xml:space="preserve">SUM of x * P(X=x)</t>
  </si>
  <si>
    <t xml:space="preserve">V(X)   =  sigma^2</t>
  </si>
  <si>
    <t xml:space="preserve">SUM of P * (x - E(X))^2</t>
  </si>
  <si>
    <t xml:space="preserve">Stdev(X) = sigma</t>
  </si>
  <si>
    <t xml:space="preserve">= SQRT(V(X))</t>
  </si>
  <si>
    <t xml:space="preserve">Payoff column g(x):</t>
  </si>
  <si>
    <t xml:space="preserve">E(g)</t>
  </si>
  <si>
    <t xml:space="preserve">V(g)</t>
  </si>
  <si>
    <t xml:space="preserve">Stdev(g)</t>
  </si>
  <si>
    <t xml:space="preserve">TOTAL</t>
  </si>
  <si>
    <t xml:space="preserve">LINEAR TRANSFORM   Y = a + b*X      (profit, revenue, unit conversion)</t>
  </si>
  <si>
    <t xml:space="preserve">Rules:   E(a + bX) = a + b*E(X)        V(a + bX) = b^2 * V(X)        Stdev(a + bX) = |b| * Stdev(X)</t>
  </si>
  <si>
    <t xml:space="preserve">a   (fixed amount)</t>
  </si>
  <si>
    <t xml:space="preserve">pre-filled: Lecture 3 contractor. Fixed cost -50 ($K)</t>
  </si>
  <si>
    <t xml:space="preserve">b   (per unit)</t>
  </si>
  <si>
    <t xml:space="preserve">profit per apartment ($K)</t>
  </si>
  <si>
    <t xml:space="preserve">E(Y)</t>
  </si>
  <si>
    <t xml:space="preserve">= a + b*E(X)</t>
  </si>
  <si>
    <t xml:space="preserve">V(Y)</t>
  </si>
  <si>
    <t xml:space="preserve">= b^2 * V(X)</t>
  </si>
  <si>
    <t xml:space="preserve">Stdev(Y)</t>
  </si>
  <si>
    <t xml:space="preserve">= |b| * Stdev(X)</t>
  </si>
  <si>
    <t xml:space="preserve">Lecture check: X = apartments sold (0,1,2,3 with P = .1,.3,.3,.3) -&gt; E(X)=1.8, V(X)=0.96, sd=0.9797.</t>
  </si>
  <si>
    <t xml:space="preserve">               Y = -50 + 200X  -&gt;  E(Y)=310, V(Y)=38,400, sd(Y)=195.96.   Bonus column g -&gt; E=45, sd=30.187.</t>
  </si>
  <si>
    <t xml:space="preserve">5 - Probability Trees, Repeated Trials and Bayes</t>
  </si>
  <si>
    <t xml:space="preserve">Lecture 3. Along a path MULTIPLY (AND). Between paths ADD (OR).</t>
  </si>
  <si>
    <t xml:space="preserve">A.  REPEATED INDEPENDENT TRIALS  ('at least one', default over N years)</t>
  </si>
  <si>
    <t xml:space="preserve">C.  GENERAL PATH TABLE</t>
  </si>
  <si>
    <t xml:space="preserve">p = probability per period</t>
  </si>
  <si>
    <t xml:space="preserve">pre-filled: Fitch AAA annual default probability</t>
  </si>
  <si>
    <t xml:space="preserve">One row per path. Fill the step probabilities, they get MULTIPLIED. Leave unused steps blank.</t>
  </si>
  <si>
    <t xml:space="preserve">N = number of periods</t>
  </si>
  <si>
    <t xml:space="preserve">years / trials</t>
  </si>
  <si>
    <t xml:space="preserve">Path (label)</t>
  </si>
  <si>
    <t xml:space="preserve">Step 1</t>
  </si>
  <si>
    <t xml:space="preserve">Step 2</t>
  </si>
  <si>
    <t xml:space="preserve">Step 3</t>
  </si>
  <si>
    <t xml:space="preserve">Path prob</t>
  </si>
  <si>
    <t xml:space="preserve">Outcome value</t>
  </si>
  <si>
    <t xml:space="preserve">value * P</t>
  </si>
  <si>
    <t xml:space="preserve">(v-E)^2 * P</t>
  </si>
  <si>
    <t xml:space="preserve">P(it NEVER happens)</t>
  </si>
  <si>
    <t xml:space="preserve">= (1-p)^N   - multiply along the path</t>
  </si>
  <si>
    <t xml:space="preserve">Up,Up</t>
  </si>
  <si>
    <t xml:space="preserve">P(AT LEAST ONE)</t>
  </si>
  <si>
    <t xml:space="preserve">= 1 - (1-p)^N   &lt;-- the usual answer</t>
  </si>
  <si>
    <t xml:space="preserve">Up,Dn</t>
  </si>
  <si>
    <t xml:space="preserve">P(it ALWAYS happens)</t>
  </si>
  <si>
    <t xml:space="preserve">= p^N</t>
  </si>
  <si>
    <t xml:space="preserve">Dn,Up</t>
  </si>
  <si>
    <t xml:space="preserve">k  (for 'exactly k times')</t>
  </si>
  <si>
    <t xml:space="preserve">Dn,Dn</t>
  </si>
  <si>
    <t xml:space="preserve">P(exactly k in N)</t>
  </si>
  <si>
    <t xml:space="preserve">=BINOMDIST(k, N, p, FALSE)</t>
  </si>
  <si>
    <t xml:space="preserve">P(at most k in N)</t>
  </si>
  <si>
    <t xml:space="preserve">=BINOMDIST(k, N, p, TRUE)</t>
  </si>
  <si>
    <t xml:space="preserve">Lecture check: p=0.0002, N=25  -&gt;  P(at least one default) = 0.004988.</t>
  </si>
  <si>
    <t xml:space="preserve">B.  BAYES  /  REVERSE PROBABILITY   P(A | test says A)</t>
  </si>
  <si>
    <t xml:space="preserve">The classic trap: a 99.9% accurate test for a rare condition is still usually a false alarm.</t>
  </si>
  <si>
    <t xml:space="preserve">P(A)  - the base rate / prior</t>
  </si>
  <si>
    <t xml:space="preserve">pre-filled: Lecture 3 HIV example. 0.6% prevalence</t>
  </si>
  <si>
    <t xml:space="preserve">P(test + | A)   - sensitivity</t>
  </si>
  <si>
    <t xml:space="preserve">true positive rate</t>
  </si>
  <si>
    <t xml:space="preserve">P(test + | not A) - false alarm rate</t>
  </si>
  <si>
    <t xml:space="preserve">false positive rate</t>
  </si>
  <si>
    <t xml:space="preserve">P(A and test +)</t>
  </si>
  <si>
    <t xml:space="preserve">multiply along the path</t>
  </si>
  <si>
    <t xml:space="preserve">P(not A and test +)</t>
  </si>
  <si>
    <t xml:space="preserve">P(test +)</t>
  </si>
  <si>
    <t xml:space="preserve">add across the paths</t>
  </si>
  <si>
    <t xml:space="preserve">P(A | test +)</t>
  </si>
  <si>
    <t xml:space="preserve">&lt;-- THE ANSWER. Bayes.</t>
  </si>
  <si>
    <t xml:space="preserve">P(not A | test +)</t>
  </si>
  <si>
    <t xml:space="preserve">the false-alarm share of positives</t>
  </si>
  <si>
    <t xml:space="preserve">E(X) over all paths</t>
  </si>
  <si>
    <t xml:space="preserve">sum of value * path prob</t>
  </si>
  <si>
    <t xml:space="preserve">P(test -)</t>
  </si>
  <si>
    <t xml:space="preserve">V(X)</t>
  </si>
  <si>
    <t xml:space="preserve">P(A | test -)</t>
  </si>
  <si>
    <t xml:space="preserve">missed cases</t>
  </si>
  <si>
    <t xml:space="preserve">Stdev(X)</t>
  </si>
  <si>
    <t xml:space="preserve">Lecture check: 0.006 / 0.999 / 0.01  -&gt;  P(HIV+ | 'HIV+') = 0.376, i.e. about 38%.</t>
  </si>
  <si>
    <t xml:space="preserve">Lecture check: $1 doubling tree 1.1/0.9 over two steps -&gt; E = 1.04, stdev = 0.141.</t>
  </si>
  <si>
    <t xml:space="preserve">6 - SAXBY:  Combining Two Random Variables   aX + bY</t>
  </si>
  <si>
    <t xml:space="preserve">Lecture 4. THE formula of this course:  V(aX+bY) = a^2*V(X) + b^2*V(Y) + 2*a*b*sdX*sdY*Corr(X,Y)</t>
  </si>
  <si>
    <t xml:space="preserve">INPUTS</t>
  </si>
  <si>
    <t xml:space="preserve">BONUS:  THREE ASSETS  aX + bY + cZ</t>
  </si>
  <si>
    <t xml:space="preserve">a   (weight on X)</t>
  </si>
  <si>
    <t xml:space="preserve">X+Y -&gt; a=1,b=1.   X-Y -&gt; a=1,b=-1.   35/65 mix -&gt; a=0.35,b=0.65</t>
  </si>
  <si>
    <t xml:space="preserve">Marked 'not in our course' on slide 39 - here just in case.</t>
  </si>
  <si>
    <t xml:space="preserve">b   (weight on Y)</t>
  </si>
  <si>
    <t xml:space="preserve">a</t>
  </si>
  <si>
    <t xml:space="preserve">E(X)  = mu X</t>
  </si>
  <si>
    <t xml:space="preserve">pre-filled: Lecture 5 walk-in vs phone demand</t>
  </si>
  <si>
    <t xml:space="preserve">b</t>
  </si>
  <si>
    <t xml:space="preserve">Stdev(X) = sd X</t>
  </si>
  <si>
    <t xml:space="preserve">c</t>
  </si>
  <si>
    <t xml:space="preserve">E(Y)  = mu Y</t>
  </si>
  <si>
    <t xml:space="preserve">E(X)</t>
  </si>
  <si>
    <t xml:space="preserve">Stdev(Y) = sd Y</t>
  </si>
  <si>
    <t xml:space="preserve">Corr(X,Y)</t>
  </si>
  <si>
    <t xml:space="preserve">between -1 and 1</t>
  </si>
  <si>
    <t xml:space="preserve">E(Z)</t>
  </si>
  <si>
    <t xml:space="preserve">sd X squared</t>
  </si>
  <si>
    <t xml:space="preserve">sd Z</t>
  </si>
  <si>
    <t xml:space="preserve">sd Y squared</t>
  </si>
  <si>
    <t xml:space="preserve">Covariance term  2ab*sdX*sdY*Corr</t>
  </si>
  <si>
    <t xml:space="preserve">&lt;-- sign flips when a or b is negative</t>
  </si>
  <si>
    <t xml:space="preserve">Corr(X,Z)</t>
  </si>
  <si>
    <t xml:space="preserve">E(aX + bY)</t>
  </si>
  <si>
    <t xml:space="preserve">= a*E(X) + b*E(Y)</t>
  </si>
  <si>
    <t xml:space="preserve">Corr(Y,Z)</t>
  </si>
  <si>
    <t xml:space="preserve">V(aX + bY)</t>
  </si>
  <si>
    <t xml:space="preserve">the SAXBY formula</t>
  </si>
  <si>
    <t xml:space="preserve">Stdev(aX + bY)</t>
  </si>
  <si>
    <t xml:space="preserve">= SQRT of the line above</t>
  </si>
  <si>
    <t xml:space="preserve">E(aX+bY+cZ)</t>
  </si>
  <si>
    <t xml:space="preserve">weighted average of the means</t>
  </si>
  <si>
    <t xml:space="preserve">V(aX+bY+cZ)</t>
  </si>
  <si>
    <t xml:space="preserve">three squares + three cross terms</t>
  </si>
  <si>
    <t xml:space="preserve">SANITY CHECKS  &amp;  SPECIAL CASES</t>
  </si>
  <si>
    <t xml:space="preserve">If Corr were 0</t>
  </si>
  <si>
    <t xml:space="preserve">cross term vanishes</t>
  </si>
  <si>
    <t xml:space="preserve">Weights sum check</t>
  </si>
  <si>
    <t xml:space="preserve">should be 1 for a portfolio</t>
  </si>
  <si>
    <t xml:space="preserve">If Corr were +1</t>
  </si>
  <si>
    <t xml:space="preserve">= |a*sdX + b*sdY| : NO diversification</t>
  </si>
  <si>
    <t xml:space="preserve">If Corr were -1</t>
  </si>
  <si>
    <t xml:space="preserve">maximum diversification</t>
  </si>
  <si>
    <t xml:space="preserve">Naive (wrong) a*sdX + b*sdY</t>
  </si>
  <si>
    <t xml:space="preserve">stdev is NEVER just added - this is the trap</t>
  </si>
  <si>
    <t xml:space="preserve">Stdev(aX+bY) &lt;= a*Stdev(X) + b*Stdev(Y), with equality only when Corr = +1. That gap IS diversification.</t>
  </si>
  <si>
    <t xml:space="preserve">Lecture check: a=1,b=1, X~(100,10), Y~(150,15), Corr=0.8 -&gt; E=250, stdev=23.77.</t>
  </si>
  <si>
    <t xml:space="preserve">               a=1,b=-1 on the same numbers        -&gt; E=-50,  stdev=9.22.</t>
  </si>
  <si>
    <t xml:space="preserve">7 - Portfolio Construction    P = wX + (1-w)Y</t>
  </si>
  <si>
    <t xml:space="preserve">Lecture 4. Target return, target risk, minimum-risk portfolio, and the frontier chart.</t>
  </si>
  <si>
    <t xml:space="preserve">Enter returns and stdevs CONSISTENTLY: either all decimals (0.15) or all percents (15). Pre-filled as decimals.</t>
  </si>
  <si>
    <t xml:space="preserve">THE TWO ASSETS</t>
  </si>
  <si>
    <t xml:space="preserve">E.  THE FRONTIER</t>
  </si>
  <si>
    <t xml:space="preserve">F.  TEST-YOURSELF ANSWERS</t>
  </si>
  <si>
    <t xml:space="preserve">E(X)  - expected return of X</t>
  </si>
  <si>
    <t xml:space="preserve">w in X</t>
  </si>
  <si>
    <t xml:space="preserve">Stdev(P)</t>
  </si>
  <si>
    <t xml:space="preserve">E(P)</t>
  </si>
  <si>
    <t xml:space="preserve">Return above the better asset?</t>
  </si>
  <si>
    <t xml:space="preserve">Stdev(X) - risk of X</t>
  </si>
  <si>
    <t xml:space="preserve">E(Y)  - expected return of Y</t>
  </si>
  <si>
    <t xml:space="preserve">Stdev(Y) - risk of Y</t>
  </si>
  <si>
    <t xml:space="preserve">Return below the worse asset?</t>
  </si>
  <si>
    <t xml:space="preserve">A.  I KNOW THE WEIGHT  -&gt;  what do I get?</t>
  </si>
  <si>
    <t xml:space="preserve">Stdev above the riskier asset?</t>
  </si>
  <si>
    <t xml:space="preserve">w  = fraction invested in X</t>
  </si>
  <si>
    <t xml:space="preserve">then (1-w) goes into Y</t>
  </si>
  <si>
    <t xml:space="preserve">1 - w  (in Y)</t>
  </si>
  <si>
    <t xml:space="preserve">E(P)  expected return</t>
  </si>
  <si>
    <t xml:space="preserve">Stdev below the safer asset?</t>
  </si>
  <si>
    <t xml:space="preserve">V(P)  variance</t>
  </si>
  <si>
    <t xml:space="preserve">SAXBY</t>
  </si>
  <si>
    <t xml:space="preserve">Stdev(P)  risk</t>
  </si>
  <si>
    <t xml:space="preserve">B.  I HAVE A TARGET RETURN  -&gt;  what weight?</t>
  </si>
  <si>
    <t xml:space="preserve">EFFECT OF CORRELATION</t>
  </si>
  <si>
    <t xml:space="preserve">Target expected return</t>
  </si>
  <si>
    <t xml:space="preserve">pre-filled: the slide-22 goal of 15%</t>
  </si>
  <si>
    <t xml:space="preserve">Corr = +1  -&gt;  no diversification at all. The frontier is a straight line.</t>
  </si>
  <si>
    <t xml:space="preserve">Required w  (in X)</t>
  </si>
  <si>
    <t xml:space="preserve">w = (target - E(Y)) / (E(X) - E(Y))</t>
  </si>
  <si>
    <t xml:space="preserve">Corr = 0   -&gt;  the cross term vanishes; real risk reduction.</t>
  </si>
  <si>
    <t xml:space="preserve">Required 1-w (in Y)</t>
  </si>
  <si>
    <t xml:space="preserve">Corr = -1  -&gt;  maximum diversification; risk can reach zero.</t>
  </si>
  <si>
    <t xml:space="preserve">Resulting Stdev(P)</t>
  </si>
  <si>
    <t xml:space="preserve">the risk you must accept</t>
  </si>
  <si>
    <t xml:space="preserve">The lower the Corr, the more the curve BENDS to the left.</t>
  </si>
  <si>
    <t xml:space="preserve">Lecture check: target 15% with X=10%, Y=20%  -&gt;  w = 0.5  (50/50).</t>
  </si>
  <si>
    <t xml:space="preserve">C.  I HAVE A TARGET RISK  -&gt;  what weight?  (quadratic - two answers)</t>
  </si>
  <si>
    <t xml:space="preserve">Target Stdev(P)</t>
  </si>
  <si>
    <t xml:space="preserve">pre-filled: the slide-23 goal of 20%</t>
  </si>
  <si>
    <t xml:space="preserve">A coefficient</t>
  </si>
  <si>
    <t xml:space="preserve">w = 0 is 100% Y.  w = 1 is 100% X.</t>
  </si>
  <si>
    <t xml:space="preserve">B coefficient</t>
  </si>
  <si>
    <t xml:space="preserve">C coefficient</t>
  </si>
  <si>
    <t xml:space="preserve">Discriminant</t>
  </si>
  <si>
    <t xml:space="preserve">negative =&gt; that risk level is impossible</t>
  </si>
  <si>
    <t xml:space="preserve">w  solution 1</t>
  </si>
  <si>
    <t xml:space="preserve">w  solution 2</t>
  </si>
  <si>
    <t xml:space="preserve">usually the one in [0,1]</t>
  </si>
  <si>
    <t xml:space="preserve">E(P) at solution 1</t>
  </si>
  <si>
    <t xml:space="preserve">E(P) at solution 2</t>
  </si>
  <si>
    <t xml:space="preserve">Lecture check: target risk 20%  -&gt;  w = 0.6  (60% in X, 40% in Y).</t>
  </si>
  <si>
    <t xml:space="preserve">D.  THE MINIMUM-RISK PORTFOLIO  (lowest possible stdev)</t>
  </si>
  <si>
    <t xml:space="preserve">w*  minimum-variance weight</t>
  </si>
  <si>
    <t xml:space="preserve">1 - w*</t>
  </si>
  <si>
    <t xml:space="preserve">Minimum Stdev(P)</t>
  </si>
  <si>
    <t xml:space="preserve">&lt;-- the lowest risk achievable</t>
  </si>
  <si>
    <t xml:space="preserve">E(P) at the minimum</t>
  </si>
  <si>
    <t xml:space="preserve">Is it below BOTH assets?</t>
  </si>
  <si>
    <t xml:space="preserve">Lecture check: real-estate example (sd 3.16, 2.68, Corr -0.5) -&gt; w* = 0.44, minimum stdev = 1.45.</t>
  </si>
  <si>
    <t xml:space="preserve">8 - The Normal Distribution</t>
  </si>
  <si>
    <t xml:space="preserve">Lecture 5. NORMDIST always gives the area to the LEFT of x. Everything else is built from that.</t>
  </si>
  <si>
    <t xml:space="preserve">THE DISTRIBUTION</t>
  </si>
  <si>
    <t xml:space="preserve">PURE  Z  (standard normal)</t>
  </si>
  <si>
    <t xml:space="preserve">pre-filled: Lecture 5 grades example</t>
  </si>
  <si>
    <t xml:space="preserve">Z ~ N(0,1). Use when the question is already in z terms.</t>
  </si>
  <si>
    <t xml:space="preserve">must be positive</t>
  </si>
  <si>
    <t xml:space="preserve">z</t>
  </si>
  <si>
    <t xml:space="preserve">P(Z &lt; z)</t>
  </si>
  <si>
    <t xml:space="preserve">FORWARD:  I HAVE A VALUE  -&gt;  WHAT IS THE PROBABILITY?</t>
  </si>
  <si>
    <t xml:space="preserve">P(Z &gt; z)</t>
  </si>
  <si>
    <t xml:space="preserve">x   (the cut-off)</t>
  </si>
  <si>
    <t xml:space="preserve">z-score of x</t>
  </si>
  <si>
    <t xml:space="preserve">(x - mu) / sigma</t>
  </si>
  <si>
    <t xml:space="preserve">p</t>
  </si>
  <si>
    <t xml:space="preserve">P(X &lt; x)   LEFT tail</t>
  </si>
  <si>
    <t xml:space="preserve">=NORMDIST(x, mu, sd, TRUE)</t>
  </si>
  <si>
    <t xml:space="preserve">z such that P(Z&lt;z)=p</t>
  </si>
  <si>
    <t xml:space="preserve">=NORMSINV(p)</t>
  </si>
  <si>
    <t xml:space="preserve">P(X &gt; x)   RIGHT tail</t>
  </si>
  <si>
    <t xml:space="preserve">= 1 - NORMDIST(...)</t>
  </si>
  <si>
    <t xml:space="preserve">Lecture check: mu=80, sd=10, x=90  -&gt;  P(X&lt;90) = 0.8413,  P(X&gt;90) = 0.1587.</t>
  </si>
  <si>
    <t xml:space="preserve">COMMON z VALUES</t>
  </si>
  <si>
    <t xml:space="preserve">z for 90%</t>
  </si>
  <si>
    <t xml:space="preserve">a   (lower bound)</t>
  </si>
  <si>
    <t xml:space="preserve">for a 'between' question</t>
  </si>
  <si>
    <t xml:space="preserve">z for 95%</t>
  </si>
  <si>
    <t xml:space="preserve">b   (upper bound)</t>
  </si>
  <si>
    <t xml:space="preserve">z for 97.5%</t>
  </si>
  <si>
    <t xml:space="preserve">P(a &lt; X &lt; b)</t>
  </si>
  <si>
    <t xml:space="preserve">= NORMDIST(b,..) - NORMDIST(a,..)</t>
  </si>
  <si>
    <t xml:space="preserve">z for 99%</t>
  </si>
  <si>
    <t xml:space="preserve">Lecture check: P(75 &lt; X &lt; 90) = 0.8413 - 0.3085 = 0.5328.</t>
  </si>
  <si>
    <t xml:space="preserve">z for 99.5%</t>
  </si>
  <si>
    <t xml:space="preserve">REVERSE:  I HAVE A PROBABILITY  -&gt;  WHAT IS THE VALUE?</t>
  </si>
  <si>
    <t xml:space="preserve">p   (probability BELOW)</t>
  </si>
  <si>
    <t xml:space="preserve">x such that P(X&lt;x) = p</t>
  </si>
  <si>
    <t xml:space="preserve">=NORMINV(p, mu, sd)</t>
  </si>
  <si>
    <t xml:space="preserve">Or: I want the TOP ___</t>
  </si>
  <si>
    <t xml:space="preserve">top 10% -&gt; type 0.10</t>
  </si>
  <si>
    <t xml:space="preserve">Cut-off for the top</t>
  </si>
  <si>
    <t xml:space="preserve">=NORMINV(1 - 0.10, ...) = NORMINV(0.90,...)</t>
  </si>
  <si>
    <t xml:space="preserve">Or: I want the BOTTOM ___</t>
  </si>
  <si>
    <t xml:space="preserve">worst 5% - the VaR question</t>
  </si>
  <si>
    <t xml:space="preserve">Cut-off for the bottom</t>
  </si>
  <si>
    <t xml:space="preserve">=NORMINV(0.05, ...)</t>
  </si>
  <si>
    <t xml:space="preserve">Lecture check: top 10% of N(80,10) -&gt; 92.8.   (Set mu=7, sd=10 to get the portfolio VaR answer of -9.45.)</t>
  </si>
  <si>
    <t xml:space="preserve">SYMMETRIC INTERVAL  mu +/- k*sigma</t>
  </si>
  <si>
    <t xml:space="preserve">k  (number of stdevs)</t>
  </si>
  <si>
    <t xml:space="preserve">Lower bound</t>
  </si>
  <si>
    <t xml:space="preserve">Upper bound</t>
  </si>
  <si>
    <t xml:space="preserve">P(inside)</t>
  </si>
  <si>
    <t xml:space="preserve">1 sd -&gt; .683, 2 sd -&gt; .954, 3 sd -&gt; .997</t>
  </si>
  <si>
    <t xml:space="preserve">P(outside)</t>
  </si>
  <si>
    <t xml:space="preserve">9 - Combine X and Y, THEN a Normal Probability   *** THE BIG ONE ***</t>
  </si>
  <si>
    <t xml:space="preserve">Lecture 5. Total demand, stock levels, P(X &gt; Y), weighted test scores. Step 1 SAXBY, step 2 NORMDIST.</t>
  </si>
  <si>
    <t xml:space="preserve">STEP 1 - BUILD THE COMBINATION  aX + bY</t>
  </si>
  <si>
    <t xml:space="preserve">SHORTCUT:  P(X &gt; Y) ?</t>
  </si>
  <si>
    <t xml:space="preserve">a  (weight on X)</t>
  </si>
  <si>
    <t xml:space="preserve">X+Y -&gt; 1 and 1.   X-Y -&gt; 1 and -1.   35/65 -&gt; 0.35 and 0.65</t>
  </si>
  <si>
    <t xml:space="preserve">1.  Set  a = 1  and  b = -1  above.</t>
  </si>
  <si>
    <t xml:space="preserve">b  (weight on Y)</t>
  </si>
  <si>
    <t xml:space="preserve">2.  That makes the combination  X - Y.</t>
  </si>
  <si>
    <t xml:space="preserve">pre-filled: Lecture 5 Example 3 (walk-in demand)</t>
  </si>
  <si>
    <t xml:space="preserve">3.  P(X &gt; Y) is the same as P(X - Y &gt; 0).</t>
  </si>
  <si>
    <t xml:space="preserve">4.  So set x = 0 and read 'P(combo &gt; x)'.</t>
  </si>
  <si>
    <t xml:space="preserve">(phone orders)</t>
  </si>
  <si>
    <t xml:space="preserve">P(X &gt; Y) right now:</t>
  </si>
  <si>
    <t xml:space="preserve">Lecture check: with a=1,b=-1 the answer is ~0.0000</t>
  </si>
  <si>
    <t xml:space="preserve">E(aX+bY)     -&gt; the new MEAN</t>
  </si>
  <si>
    <t xml:space="preserve">(walk-ins almost never beat phone orders).</t>
  </si>
  <si>
    <t xml:space="preserve">V(aX+bY)</t>
  </si>
  <si>
    <t xml:space="preserve">Stdev(aX+bY) -&gt; the new SIGMA</t>
  </si>
  <si>
    <t xml:space="preserve">WEIGHTED-SCORE QUESTIONS</t>
  </si>
  <si>
    <t xml:space="preserve">NYC Gifted &amp; Talented: SAI weighted 35%, NAI 65%.</t>
  </si>
  <si>
    <t xml:space="preserve">Lecture check: a=1,b=1  -&gt;  N(250, 23.77^2).      a=1,b=-1  -&gt;  N(-50, 9.22^2).</t>
  </si>
  <si>
    <t xml:space="preserve">Set a = 0.35, b = 0.65.</t>
  </si>
  <si>
    <t xml:space="preserve">Then x = the child's weighted score, read P(combo &lt; x).</t>
  </si>
  <si>
    <t xml:space="preserve">STEP 2 - ASK THE NORMAL QUESTION ABOUT THAT COMBINATION</t>
  </si>
  <si>
    <t xml:space="preserve">Lecture check: Corr=1 -&gt; N(100,16), score 121.6 -&gt; 0.9115.</t>
  </si>
  <si>
    <t xml:space="preserve">               Corr=0.5 -&gt; N(100,14.1), same score -&gt; 0.937.</t>
  </si>
  <si>
    <t xml:space="preserve">z-score</t>
  </si>
  <si>
    <t xml:space="preserve">Lower correlation =&gt; smaller sigma =&gt; a HIGHER percentile.</t>
  </si>
  <si>
    <t xml:space="preserve">P(combo &lt; x)</t>
  </si>
  <si>
    <t xml:space="preserve">P(combo &gt; x)</t>
  </si>
  <si>
    <t xml:space="preserve">lower bound</t>
  </si>
  <si>
    <t xml:space="preserve">upper bound</t>
  </si>
  <si>
    <t xml:space="preserve">P(lower &lt; combo &lt; upper)</t>
  </si>
  <si>
    <t xml:space="preserve">STEP 2b - SERVICE LEVEL  /  STOCK LEVEL  (reverse)</t>
  </si>
  <si>
    <t xml:space="preserve">Service level  (e.g. 0.99)</t>
  </si>
  <si>
    <t xml:space="preserve">'meet demand 99% of the time'</t>
  </si>
  <si>
    <t xml:space="preserve">Required level (exact)</t>
  </si>
  <si>
    <t xml:space="preserve">=NORMINV(0.99, mean, stdev)</t>
  </si>
  <si>
    <t xml:space="preserve">Rounded UP to a whole unit</t>
  </si>
  <si>
    <t xml:space="preserve">&lt;-- inventory / GPUs must be whole units</t>
  </si>
  <si>
    <t xml:space="preserve">Lecture check: 99% of N(250, 23.77) -&gt; 305.29  -&gt;  stock 306 units.</t>
  </si>
  <si>
    <t xml:space="preserve">10 - Resource Pooling  (diversification applied to capacity)</t>
  </si>
  <si>
    <t xml:space="preserve">Lecture 4/5. Two separate facilities vs one shared facility. Pooling needs LESS total capacity.</t>
  </si>
  <si>
    <t xml:space="preserve">SERVICE-LEVEL VERSION</t>
  </si>
  <si>
    <t xml:space="preserve">E(X)  - demand of A</t>
  </si>
  <si>
    <t xml:space="preserve">pre-filled: the GPU / cloud-computing example</t>
  </si>
  <si>
    <t xml:space="preserve">If the question gives a % instead of 'k stdevs':</t>
  </si>
  <si>
    <t xml:space="preserve">Service level</t>
  </si>
  <si>
    <t xml:space="preserve">E(Y)  - demand of B</t>
  </si>
  <si>
    <t xml:space="preserve">Implied k</t>
  </si>
  <si>
    <t xml:space="preserve">=NORMSINV(service level)</t>
  </si>
  <si>
    <t xml:space="preserve">Capacity for A</t>
  </si>
  <si>
    <t xml:space="preserve">Capacity for B</t>
  </si>
  <si>
    <t xml:space="preserve">k  - stdevs of safety cover</t>
  </si>
  <si>
    <t xml:space="preserve">'capable of meeting demand 3 stdevs above the mean'</t>
  </si>
  <si>
    <t xml:space="preserve">TOTAL separate</t>
  </si>
  <si>
    <t xml:space="preserve">Pooled capacity</t>
  </si>
  <si>
    <t xml:space="preserve">OPTION 1 - EACH BUILDS ITS OWN</t>
  </si>
  <si>
    <t xml:space="preserve">Units saved</t>
  </si>
  <si>
    <t xml:space="preserve">= mu + k*sigma</t>
  </si>
  <si>
    <t xml:space="preserve">Pooled, rounded up</t>
  </si>
  <si>
    <t xml:space="preserve">WHY POOLING WINS</t>
  </si>
  <si>
    <t xml:space="preserve">Peaks in A and troughs in B cancel out.</t>
  </si>
  <si>
    <t xml:space="preserve">OPTION 2 - ONE POOLED FACILITY</t>
  </si>
  <si>
    <t xml:space="preserve">Idiosyncratic randomness averages away.</t>
  </si>
  <si>
    <t xml:space="preserve">Pooled mean  E(X+Y)</t>
  </si>
  <si>
    <t xml:space="preserve">The lower the correlation, the bigger the saving.</t>
  </si>
  <si>
    <t xml:space="preserve">Pooled variance</t>
  </si>
  <si>
    <t xml:space="preserve">SAXBY with a = b = 1</t>
  </si>
  <si>
    <t xml:space="preserve">At Corr = +1 there is NO saving at all.</t>
  </si>
  <si>
    <t xml:space="preserve">Pooled stdev</t>
  </si>
  <si>
    <t xml:space="preserve">&lt; sdX + sdY unless Corr = 1</t>
  </si>
  <si>
    <t xml:space="preserve">TOTAL pooled capacity</t>
  </si>
  <si>
    <t xml:space="preserve">THE SAVING</t>
  </si>
  <si>
    <t xml:space="preserve">% saved</t>
  </si>
  <si>
    <t xml:space="preserve">Rounded up - separate</t>
  </si>
  <si>
    <t xml:space="preserve">whole units</t>
  </si>
  <si>
    <t xml:space="preserve">Rounded up - pooled</t>
  </si>
  <si>
    <t xml:space="preserve">Lecture check: mu=20, sd=10 each, Corr=0.2, k=3  -&gt;  each needs 50, total 100.</t>
  </si>
  <si>
    <t xml:space="preserve">               Pooled: mean 40, stdev 15.49, capacity 86.5.  Saving about 13.5 GPUs.</t>
  </si>
  <si>
    <t xml:space="preserve">Standard Normal Table   -   P(Z &lt; z)</t>
  </si>
  <si>
    <t xml:space="preserve">Backup for the Normal table. Row = z to one decimal, column = the second decimal.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</si>
</sst>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00"/>
    <numFmt numFmtId="167" formatCode="0.000000"/>
    <numFmt numFmtId="168" formatCode="0.00%"/>
    <numFmt numFmtId="169" formatCode="0.00"/>
    <numFmt numFmtId="170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Consolas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E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" fillId="6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6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7" fillId="5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6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7" fillId="5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Efficient Frontier:  Risk vs Expected Return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"Portfolios  w = 0 .. 1"</c:f>
              <c:strCache>
                <c:ptCount val="1"/>
                <c:pt idx="0">
                  <c:v>Portfolios  w = 0 .. 1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'7 Portfolio'!$G$6:$G$26</c:f>
              <c:numCache>
                <c:formatCode>0.000000</c:formatCode>
                <c:ptCount val="21"/>
                <c:pt idx="0">
                  <c:v>0.35</c:v>
                </c:pt>
                <c:pt idx="1">
                  <c:v>0.336312726491282</c:v>
                </c:pt>
                <c:pt idx="2">
                  <c:v>0.32276152187025</c:v>
                </c:pt>
                <c:pt idx="3">
                  <c:v>0.309364267490607</c:v>
                </c:pt>
                <c:pt idx="4">
                  <c:v>0.296141857899217</c:v>
                </c:pt>
                <c:pt idx="5">
                  <c:v>0.283118791322653</c:v>
                </c:pt>
                <c:pt idx="6">
                  <c:v>0.270323879818265</c:v>
                </c:pt>
                <c:pt idx="7">
                  <c:v>0.257791097596484</c:v>
                </c:pt>
                <c:pt idx="8">
                  <c:v>0.245560583156174</c:v>
                </c:pt>
                <c:pt idx="9">
                  <c:v>0.233679802293651</c:v>
                </c:pt>
                <c:pt idx="10">
                  <c:v>0.22220486043289</c:v>
                </c:pt>
                <c:pt idx="11">
                  <c:v>0.211201917604931</c:v>
                </c:pt>
                <c:pt idx="12">
                  <c:v>0.200748598998847</c:v>
                </c:pt>
                <c:pt idx="13">
                  <c:v>0.1909351984313</c:v>
                </c:pt>
                <c:pt idx="14">
                  <c:v>0.181865334794732</c:v>
                </c:pt>
                <c:pt idx="15">
                  <c:v>0.173655549868123</c:v>
                </c:pt>
                <c:pt idx="16">
                  <c:v>0.166433169770932</c:v>
                </c:pt>
                <c:pt idx="17">
                  <c:v>0.16033168744824</c:v>
                </c:pt>
                <c:pt idx="18">
                  <c:v>0.155483118054662</c:v>
                </c:pt>
                <c:pt idx="19">
                  <c:v>0.152007401135603</c:v>
                </c:pt>
                <c:pt idx="20">
                  <c:v>0.15</c:v>
                </c:pt>
              </c:numCache>
            </c:numRef>
          </c:xVal>
          <c:yVal>
            <c:numRef>
              <c:f>'7 Portfolio'!$H$6:$H$26</c:f>
              <c:numCache>
                <c:formatCode>0.000000</c:formatCode>
                <c:ptCount val="21"/>
                <c:pt idx="0">
                  <c:v>0.2</c:v>
                </c:pt>
                <c:pt idx="1">
                  <c:v>0.195</c:v>
                </c:pt>
                <c:pt idx="2">
                  <c:v>0.19</c:v>
                </c:pt>
                <c:pt idx="3">
                  <c:v>0.185</c:v>
                </c:pt>
                <c:pt idx="4">
                  <c:v>0.18</c:v>
                </c:pt>
                <c:pt idx="5">
                  <c:v>0.175</c:v>
                </c:pt>
                <c:pt idx="6">
                  <c:v>0.17</c:v>
                </c:pt>
                <c:pt idx="7">
                  <c:v>0.165</c:v>
                </c:pt>
                <c:pt idx="8">
                  <c:v>0.16</c:v>
                </c:pt>
                <c:pt idx="9">
                  <c:v>0.155</c:v>
                </c:pt>
                <c:pt idx="10">
                  <c:v>0.15</c:v>
                </c:pt>
                <c:pt idx="11">
                  <c:v>0.145</c:v>
                </c:pt>
                <c:pt idx="12">
                  <c:v>0.14</c:v>
                </c:pt>
                <c:pt idx="13">
                  <c:v>0.135</c:v>
                </c:pt>
                <c:pt idx="14">
                  <c:v>0.13</c:v>
                </c:pt>
                <c:pt idx="15">
                  <c:v>0.125</c:v>
                </c:pt>
                <c:pt idx="16">
                  <c:v>0.12</c:v>
                </c:pt>
                <c:pt idx="17">
                  <c:v>0.115</c:v>
                </c:pt>
                <c:pt idx="18">
                  <c:v>0.11</c:v>
                </c:pt>
                <c:pt idx="19">
                  <c:v>0.105</c:v>
                </c:pt>
                <c:pt idx="20">
                  <c:v>0.1</c:v>
                </c:pt>
              </c:numCache>
            </c:numRef>
          </c:yVal>
          <c:smooth val="1"/>
        </c:ser>
        <c:axId val="18346958"/>
        <c:axId val="49357130"/>
      </c:scatterChart>
      <c:valAx>
        <c:axId val="1834695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Portfolio risk  -  Stdev(P)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57130"/>
        <c:crosses val="autoZero"/>
        <c:crossBetween val="midCat"/>
      </c:valAx>
      <c:valAx>
        <c:axId val="49357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Portfolio expected return  -  E(P)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4695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25</xdr:row>
      <xdr:rowOff>0</xdr:rowOff>
    </xdr:from>
    <xdr:to>
      <xdr:col>12</xdr:col>
      <xdr:colOff>603720</xdr:colOff>
      <xdr:row>42</xdr:row>
      <xdr:rowOff>66960</xdr:rowOff>
    </xdr:to>
    <xdr:graphicFrame>
      <xdr:nvGraphicFramePr>
        <xdr:cNvPr id="0" name="Chart 1"/>
        <xdr:cNvGraphicFramePr/>
      </xdr:nvGraphicFramePr>
      <xdr:xfrm>
        <a:off x="13335120" y="5896080"/>
        <a:ext cx="57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46"/>
    <col collapsed="false" customWidth="true" hidden="false" outlineLevel="0" max="8" min="4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5" t="s">
        <v>6</v>
      </c>
    </row>
    <row r="7" customFormat="false" ht="15" hidden="false" customHeight="false" outlineLevel="0" collapsed="false">
      <c r="A7" s="7" t="s">
        <v>7</v>
      </c>
      <c r="B7" s="5" t="s">
        <v>8</v>
      </c>
    </row>
    <row r="8" customFormat="false" ht="15" hidden="false" customHeight="false" outlineLevel="0" collapsed="false">
      <c r="A8" s="8" t="s">
        <v>9</v>
      </c>
      <c r="B8" s="5" t="s">
        <v>10</v>
      </c>
    </row>
    <row r="10" customFormat="false" ht="15" hidden="false" customHeight="false" outlineLevel="0" collapsed="false">
      <c r="A10" s="9" t="s">
        <v>11</v>
      </c>
    </row>
    <row r="11" customFormat="false" ht="15" hidden="false" customHeight="false" outlineLevel="0" collapsed="false">
      <c r="A11" s="9" t="s">
        <v>12</v>
      </c>
    </row>
    <row r="13" customFormat="false" ht="19.5" hidden="false" customHeight="true" outlineLevel="0" collapsed="false">
      <c r="A13" s="3" t="s">
        <v>13</v>
      </c>
      <c r="B13" s="3"/>
      <c r="C13" s="3"/>
    </row>
    <row r="14" customFormat="false" ht="15" hidden="false" customHeight="false" outlineLevel="0" collapsed="false">
      <c r="A14" s="10" t="s">
        <v>14</v>
      </c>
      <c r="B14" s="10" t="s">
        <v>15</v>
      </c>
      <c r="C14" s="10" t="s">
        <v>16</v>
      </c>
    </row>
    <row r="15" customFormat="false" ht="15" hidden="false" customHeight="false" outlineLevel="0" collapsed="false">
      <c r="A15" s="11" t="s">
        <v>17</v>
      </c>
      <c r="B15" s="12" t="s">
        <v>18</v>
      </c>
      <c r="C15" s="12" t="s">
        <v>19</v>
      </c>
    </row>
    <row r="16" customFormat="false" ht="15" hidden="false" customHeight="false" outlineLevel="0" collapsed="false">
      <c r="A16" s="11" t="s">
        <v>20</v>
      </c>
      <c r="B16" s="12" t="s">
        <v>21</v>
      </c>
      <c r="C16" s="12" t="s">
        <v>19</v>
      </c>
    </row>
    <row r="17" customFormat="false" ht="15" hidden="false" customHeight="false" outlineLevel="0" collapsed="false">
      <c r="A17" s="11" t="s">
        <v>22</v>
      </c>
      <c r="B17" s="12" t="s">
        <v>23</v>
      </c>
      <c r="C17" s="12" t="s">
        <v>24</v>
      </c>
    </row>
    <row r="18" customFormat="false" ht="15" hidden="false" customHeight="false" outlineLevel="0" collapsed="false">
      <c r="A18" s="11" t="s">
        <v>25</v>
      </c>
      <c r="B18" s="12" t="s">
        <v>26</v>
      </c>
      <c r="C18" s="12" t="s">
        <v>27</v>
      </c>
    </row>
    <row r="19" customFormat="false" ht="15" hidden="false" customHeight="false" outlineLevel="0" collapsed="false">
      <c r="A19" s="11" t="s">
        <v>28</v>
      </c>
      <c r="B19" s="12" t="s">
        <v>29</v>
      </c>
      <c r="C19" s="12" t="s">
        <v>27</v>
      </c>
    </row>
    <row r="20" customFormat="false" ht="15" hidden="false" customHeight="false" outlineLevel="0" collapsed="false">
      <c r="A20" s="11" t="s">
        <v>30</v>
      </c>
      <c r="B20" s="12" t="s">
        <v>31</v>
      </c>
      <c r="C20" s="12" t="s">
        <v>32</v>
      </c>
    </row>
    <row r="21" customFormat="false" ht="15" hidden="false" customHeight="false" outlineLevel="0" collapsed="false">
      <c r="A21" s="11" t="s">
        <v>33</v>
      </c>
      <c r="B21" s="12" t="s">
        <v>34</v>
      </c>
      <c r="C21" s="12" t="s">
        <v>32</v>
      </c>
    </row>
    <row r="22" customFormat="false" ht="15" hidden="false" customHeight="false" outlineLevel="0" collapsed="false">
      <c r="A22" s="11" t="s">
        <v>35</v>
      </c>
      <c r="B22" s="12" t="s">
        <v>36</v>
      </c>
      <c r="C22" s="12" t="s">
        <v>37</v>
      </c>
    </row>
    <row r="23" customFormat="false" ht="15" hidden="false" customHeight="false" outlineLevel="0" collapsed="false">
      <c r="A23" s="11" t="s">
        <v>38</v>
      </c>
      <c r="B23" s="12" t="s">
        <v>39</v>
      </c>
      <c r="C23" s="12" t="s">
        <v>37</v>
      </c>
    </row>
    <row r="24" customFormat="false" ht="15" hidden="false" customHeight="false" outlineLevel="0" collapsed="false">
      <c r="A24" s="11" t="s">
        <v>40</v>
      </c>
      <c r="B24" s="12" t="s">
        <v>41</v>
      </c>
      <c r="C24" s="12" t="s">
        <v>42</v>
      </c>
    </row>
    <row r="25" customFormat="false" ht="15" hidden="false" customHeight="false" outlineLevel="0" collapsed="false">
      <c r="A25" s="11" t="s">
        <v>43</v>
      </c>
      <c r="B25" s="12" t="s">
        <v>44</v>
      </c>
      <c r="C25" s="12" t="s">
        <v>37</v>
      </c>
    </row>
    <row r="27" customFormat="false" ht="19.5" hidden="false" customHeight="true" outlineLevel="0" collapsed="false">
      <c r="A27" s="3" t="s">
        <v>45</v>
      </c>
      <c r="B27" s="3"/>
      <c r="C27" s="3"/>
    </row>
    <row r="28" customFormat="false" ht="15" hidden="false" customHeight="false" outlineLevel="0" collapsed="false">
      <c r="A28" s="10" t="s">
        <v>46</v>
      </c>
      <c r="B28" s="10" t="s">
        <v>47</v>
      </c>
      <c r="C28" s="10" t="s">
        <v>48</v>
      </c>
    </row>
    <row r="29" customFormat="false" ht="15" hidden="false" customHeight="false" outlineLevel="0" collapsed="false">
      <c r="A29" s="11" t="s">
        <v>49</v>
      </c>
      <c r="B29" s="13" t="s">
        <v>50</v>
      </c>
      <c r="C29" s="12" t="s">
        <v>19</v>
      </c>
    </row>
    <row r="30" customFormat="false" ht="15" hidden="false" customHeight="false" outlineLevel="0" collapsed="false">
      <c r="A30" s="11" t="s">
        <v>51</v>
      </c>
      <c r="B30" s="13" t="s">
        <v>52</v>
      </c>
      <c r="C30" s="12" t="s">
        <v>19</v>
      </c>
    </row>
    <row r="31" customFormat="false" ht="15" hidden="false" customHeight="false" outlineLevel="0" collapsed="false">
      <c r="A31" s="11" t="s">
        <v>53</v>
      </c>
      <c r="B31" s="13" t="s">
        <v>54</v>
      </c>
      <c r="C31" s="12" t="s">
        <v>19</v>
      </c>
    </row>
    <row r="32" customFormat="false" ht="15" hidden="false" customHeight="false" outlineLevel="0" collapsed="false">
      <c r="A32" s="11" t="s">
        <v>55</v>
      </c>
      <c r="B32" s="13" t="s">
        <v>56</v>
      </c>
      <c r="C32" s="12" t="s">
        <v>19</v>
      </c>
    </row>
    <row r="33" customFormat="false" ht="15" hidden="false" customHeight="false" outlineLevel="0" collapsed="false">
      <c r="A33" s="11" t="s">
        <v>57</v>
      </c>
      <c r="B33" s="13" t="s">
        <v>58</v>
      </c>
      <c r="C33" s="12" t="s">
        <v>19</v>
      </c>
    </row>
    <row r="34" customFormat="false" ht="15" hidden="false" customHeight="false" outlineLevel="0" collapsed="false">
      <c r="A34" s="11" t="s">
        <v>59</v>
      </c>
      <c r="B34" s="13" t="s">
        <v>60</v>
      </c>
      <c r="C34" s="12" t="s">
        <v>19</v>
      </c>
    </row>
    <row r="35" customFormat="false" ht="15" hidden="false" customHeight="false" outlineLevel="0" collapsed="false">
      <c r="A35" s="11" t="s">
        <v>61</v>
      </c>
      <c r="B35" s="13" t="s">
        <v>62</v>
      </c>
      <c r="C35" s="12" t="s">
        <v>19</v>
      </c>
    </row>
    <row r="36" customFormat="false" ht="15" hidden="false" customHeight="false" outlineLevel="0" collapsed="false">
      <c r="A36" s="11" t="s">
        <v>63</v>
      </c>
      <c r="B36" s="13" t="s">
        <v>64</v>
      </c>
      <c r="C36" s="12" t="s">
        <v>24</v>
      </c>
    </row>
    <row r="37" customFormat="false" ht="15" hidden="false" customHeight="false" outlineLevel="0" collapsed="false">
      <c r="A37" s="11" t="s">
        <v>65</v>
      </c>
      <c r="B37" s="13" t="s">
        <v>66</v>
      </c>
      <c r="C37" s="12" t="s">
        <v>27</v>
      </c>
    </row>
    <row r="38" customFormat="false" ht="15" hidden="false" customHeight="false" outlineLevel="0" collapsed="false">
      <c r="A38" s="11" t="s">
        <v>67</v>
      </c>
      <c r="B38" s="13" t="s">
        <v>68</v>
      </c>
      <c r="C38" s="12" t="s">
        <v>27</v>
      </c>
    </row>
    <row r="39" customFormat="false" ht="15" hidden="false" customHeight="false" outlineLevel="0" collapsed="false">
      <c r="A39" s="11" t="s">
        <v>69</v>
      </c>
      <c r="B39" s="13" t="s">
        <v>70</v>
      </c>
      <c r="C39" s="12" t="s">
        <v>27</v>
      </c>
    </row>
    <row r="40" customFormat="false" ht="15" hidden="false" customHeight="false" outlineLevel="0" collapsed="false">
      <c r="A40" s="11" t="s">
        <v>71</v>
      </c>
      <c r="B40" s="13" t="s">
        <v>72</v>
      </c>
      <c r="C40" s="12" t="s">
        <v>32</v>
      </c>
    </row>
    <row r="41" customFormat="false" ht="15" hidden="false" customHeight="false" outlineLevel="0" collapsed="false">
      <c r="A41" s="11" t="s">
        <v>73</v>
      </c>
      <c r="B41" s="13" t="s">
        <v>74</v>
      </c>
      <c r="C41" s="12" t="s">
        <v>32</v>
      </c>
    </row>
    <row r="42" customFormat="false" ht="15" hidden="false" customHeight="false" outlineLevel="0" collapsed="false">
      <c r="A42" s="11" t="s">
        <v>75</v>
      </c>
      <c r="B42" s="13" t="s">
        <v>76</v>
      </c>
      <c r="C42" s="12" t="s">
        <v>32</v>
      </c>
    </row>
    <row r="43" customFormat="false" ht="15" hidden="false" customHeight="false" outlineLevel="0" collapsed="false">
      <c r="A43" s="11" t="s">
        <v>77</v>
      </c>
      <c r="B43" s="13" t="s">
        <v>78</v>
      </c>
      <c r="C43" s="12" t="s">
        <v>37</v>
      </c>
    </row>
    <row r="44" customFormat="false" ht="15" hidden="false" customHeight="false" outlineLevel="0" collapsed="false">
      <c r="A44" s="11" t="s">
        <v>79</v>
      </c>
      <c r="B44" s="13" t="s">
        <v>80</v>
      </c>
      <c r="C44" s="12" t="s">
        <v>37</v>
      </c>
    </row>
    <row r="45" customFormat="false" ht="15" hidden="false" customHeight="false" outlineLevel="0" collapsed="false">
      <c r="A45" s="11" t="s">
        <v>81</v>
      </c>
      <c r="B45" s="13" t="s">
        <v>82</v>
      </c>
      <c r="C45" s="12" t="s">
        <v>37</v>
      </c>
    </row>
    <row r="46" customFormat="false" ht="15" hidden="false" customHeight="false" outlineLevel="0" collapsed="false">
      <c r="A46" s="11" t="s">
        <v>83</v>
      </c>
      <c r="B46" s="13" t="s">
        <v>84</v>
      </c>
      <c r="C46" s="12" t="s">
        <v>37</v>
      </c>
    </row>
    <row r="47" customFormat="false" ht="15" hidden="false" customHeight="false" outlineLevel="0" collapsed="false">
      <c r="A47" s="11" t="s">
        <v>85</v>
      </c>
      <c r="B47" s="13" t="s">
        <v>86</v>
      </c>
      <c r="C47" s="12" t="s">
        <v>37</v>
      </c>
    </row>
    <row r="49" customFormat="false" ht="19.5" hidden="false" customHeight="true" outlineLevel="0" collapsed="false">
      <c r="A49" s="3" t="s">
        <v>87</v>
      </c>
      <c r="B49" s="3"/>
      <c r="C49" s="3"/>
    </row>
    <row r="50" customFormat="false" ht="15" hidden="false" customHeight="false" outlineLevel="0" collapsed="false">
      <c r="A50" s="14" t="s">
        <v>88</v>
      </c>
      <c r="B50" s="15" t="s">
        <v>89</v>
      </c>
      <c r="C50" s="15"/>
    </row>
    <row r="51" customFormat="false" ht="15" hidden="false" customHeight="false" outlineLevel="0" collapsed="false">
      <c r="A51" s="14" t="s">
        <v>88</v>
      </c>
      <c r="B51" s="15" t="s">
        <v>90</v>
      </c>
      <c r="C51" s="15"/>
    </row>
    <row r="52" customFormat="false" ht="15" hidden="false" customHeight="false" outlineLevel="0" collapsed="false">
      <c r="A52" s="14" t="s">
        <v>88</v>
      </c>
      <c r="B52" s="15" t="s">
        <v>91</v>
      </c>
      <c r="C52" s="15"/>
    </row>
    <row r="53" customFormat="false" ht="15" hidden="false" customHeight="false" outlineLevel="0" collapsed="false">
      <c r="A53" s="14" t="s">
        <v>88</v>
      </c>
      <c r="B53" s="15" t="s">
        <v>92</v>
      </c>
      <c r="C53" s="15"/>
    </row>
    <row r="54" customFormat="false" ht="15" hidden="false" customHeight="false" outlineLevel="0" collapsed="false">
      <c r="A54" s="14" t="s">
        <v>88</v>
      </c>
      <c r="B54" s="15" t="s">
        <v>93</v>
      </c>
      <c r="C54" s="15"/>
    </row>
    <row r="55" customFormat="false" ht="15" hidden="false" customHeight="false" outlineLevel="0" collapsed="false">
      <c r="A55" s="14" t="s">
        <v>88</v>
      </c>
      <c r="B55" s="15" t="s">
        <v>94</v>
      </c>
      <c r="C55" s="15"/>
    </row>
    <row r="56" customFormat="false" ht="15" hidden="false" customHeight="false" outlineLevel="0" collapsed="false">
      <c r="A56" s="14" t="s">
        <v>88</v>
      </c>
      <c r="B56" s="15" t="s">
        <v>95</v>
      </c>
      <c r="C56" s="15"/>
    </row>
    <row r="57" customFormat="false" ht="15" hidden="false" customHeight="false" outlineLevel="0" collapsed="false">
      <c r="A57" s="14" t="s">
        <v>88</v>
      </c>
      <c r="B57" s="15" t="s">
        <v>96</v>
      </c>
      <c r="C57" s="15"/>
    </row>
    <row r="58" customFormat="false" ht="15" hidden="false" customHeight="false" outlineLevel="0" collapsed="false">
      <c r="A58" s="14" t="s">
        <v>88</v>
      </c>
      <c r="B58" s="15" t="s">
        <v>97</v>
      </c>
      <c r="C58" s="15"/>
    </row>
    <row r="59" customFormat="false" ht="15" hidden="false" customHeight="false" outlineLevel="0" collapsed="false">
      <c r="A59" s="14" t="s">
        <v>88</v>
      </c>
      <c r="B59" s="15" t="s">
        <v>98</v>
      </c>
      <c r="C59" s="15"/>
    </row>
  </sheetData>
  <mergeCells count="16">
    <mergeCell ref="A1:H1"/>
    <mergeCell ref="A2:H2"/>
    <mergeCell ref="A4:C4"/>
    <mergeCell ref="A13:C13"/>
    <mergeCell ref="A27:C27"/>
    <mergeCell ref="A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99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100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101</v>
      </c>
      <c r="B4" s="3"/>
      <c r="C4" s="3"/>
    </row>
    <row r="5" customFormat="false" ht="15" hidden="false" customHeight="false" outlineLevel="0" collapsed="false">
      <c r="A5" s="5" t="s">
        <v>102</v>
      </c>
      <c r="B5" s="16" t="n">
        <f aca="false">COUNT($A$40:$A$1039)</f>
        <v>5</v>
      </c>
      <c r="C5" s="9" t="s">
        <v>103</v>
      </c>
    </row>
    <row r="6" customFormat="false" ht="15" hidden="false" customHeight="false" outlineLevel="0" collapsed="false">
      <c r="A6" s="5" t="s">
        <v>104</v>
      </c>
      <c r="B6" s="17" t="n">
        <f aca="false">SUM($A$40:$A$1039)</f>
        <v>33</v>
      </c>
    </row>
    <row r="7" customFormat="false" ht="15" hidden="false" customHeight="false" outlineLevel="0" collapsed="false">
      <c r="A7" s="5" t="s">
        <v>105</v>
      </c>
      <c r="B7" s="18" t="n">
        <f aca="false">IF(COUNT($A$40:$A$1039)=0,"",AVERAGE($A$40:$A$1039))</f>
        <v>6.6</v>
      </c>
      <c r="C7" s="9" t="s">
        <v>106</v>
      </c>
    </row>
    <row r="8" customFormat="false" ht="15" hidden="false" customHeight="false" outlineLevel="0" collapsed="false">
      <c r="A8" s="5" t="s">
        <v>107</v>
      </c>
      <c r="B8" s="18" t="n">
        <f aca="false">IF(COUNT($A$40:$A$1039)=0,"",MEDIAN($A$40:$A$1039))</f>
        <v>7</v>
      </c>
      <c r="C8" s="9" t="s">
        <v>108</v>
      </c>
    </row>
    <row r="9" customFormat="false" ht="15" hidden="false" customHeight="false" outlineLevel="0" collapsed="false">
      <c r="A9" s="5" t="s">
        <v>109</v>
      </c>
      <c r="B9" s="17" t="str">
        <f aca="false">IFERROR(MODE($A$40:$A$1039),"none")</f>
        <v>none</v>
      </c>
      <c r="C9" s="9" t="s">
        <v>110</v>
      </c>
    </row>
    <row r="11" customFormat="false" ht="19.5" hidden="false" customHeight="true" outlineLevel="0" collapsed="false">
      <c r="A11" s="3" t="s">
        <v>111</v>
      </c>
      <c r="B11" s="3"/>
      <c r="C11" s="3"/>
    </row>
    <row r="12" customFormat="false" ht="15" hidden="false" customHeight="false" outlineLevel="0" collapsed="false">
      <c r="A12" s="5" t="s">
        <v>112</v>
      </c>
      <c r="B12" s="17" t="n">
        <f aca="false">IF(COUNT($A$40:$A$1039)&lt;2,"",VAR($A$40:$A$1039))</f>
        <v>10.3</v>
      </c>
      <c r="C12" s="9" t="s">
        <v>113</v>
      </c>
    </row>
    <row r="13" customFormat="false" ht="15" hidden="false" customHeight="false" outlineLevel="0" collapsed="false">
      <c r="A13" s="5" t="s">
        <v>114</v>
      </c>
      <c r="B13" s="18" t="n">
        <f aca="false">IF(COUNT($A$40:$A$1039)&lt;2,"",STDEV($A$40:$A$1039))</f>
        <v>3.20936130717624</v>
      </c>
      <c r="C13" s="9" t="s">
        <v>115</v>
      </c>
    </row>
    <row r="14" customFormat="false" ht="15" hidden="false" customHeight="false" outlineLevel="0" collapsed="false">
      <c r="A14" s="5" t="s">
        <v>116</v>
      </c>
      <c r="B14" s="17" t="n">
        <f aca="false">IF(COUNT($A$40:$A$1039)=0,"",VARP($A$40:$A$1039))</f>
        <v>8.24</v>
      </c>
      <c r="C14" s="9" t="s">
        <v>117</v>
      </c>
    </row>
    <row r="15" customFormat="false" ht="15" hidden="false" customHeight="false" outlineLevel="0" collapsed="false">
      <c r="A15" s="5" t="s">
        <v>53</v>
      </c>
      <c r="B15" s="17" t="n">
        <f aca="false">IF(COUNT($A$40:$A$1039)=0,"",STDEVP($A$40:$A$1039))</f>
        <v>2.87054001888147</v>
      </c>
      <c r="C15" s="9" t="s">
        <v>118</v>
      </c>
    </row>
    <row r="16" customFormat="false" ht="15" hidden="false" customHeight="false" outlineLevel="0" collapsed="false">
      <c r="A16" s="5" t="s">
        <v>119</v>
      </c>
      <c r="B16" s="17" t="n">
        <f aca="false">IF(COUNT($A$40:$A$1039)=0,"",MIN($A$40:$A$1039))</f>
        <v>2</v>
      </c>
    </row>
    <row r="17" customFormat="false" ht="15" hidden="false" customHeight="false" outlineLevel="0" collapsed="false">
      <c r="A17" s="5" t="s">
        <v>120</v>
      </c>
      <c r="B17" s="17" t="n">
        <f aca="false">IF(COUNT($A$40:$A$1039)=0,"",MAX($A$40:$A$1039))</f>
        <v>10</v>
      </c>
    </row>
    <row r="18" customFormat="false" ht="15" hidden="false" customHeight="false" outlineLevel="0" collapsed="false">
      <c r="A18" s="5" t="s">
        <v>121</v>
      </c>
      <c r="B18" s="17" t="n">
        <f aca="false">IF(COUNT($A$40:$A$1039)=0,"",MAX($A$40:$A$1039)-MIN($A$40:$A$1039))</f>
        <v>8</v>
      </c>
    </row>
    <row r="19" customFormat="false" ht="15" hidden="false" customHeight="false" outlineLevel="0" collapsed="false">
      <c r="A19" s="5" t="s">
        <v>122</v>
      </c>
      <c r="B19" s="17" t="n">
        <f aca="false">IFERROR(B13/B7,"")</f>
        <v>0.486266864723673</v>
      </c>
      <c r="C19" s="9" t="s">
        <v>123</v>
      </c>
    </row>
    <row r="21" customFormat="false" ht="19.5" hidden="false" customHeight="true" outlineLevel="0" collapsed="false">
      <c r="A21" s="3" t="s">
        <v>124</v>
      </c>
      <c r="B21" s="3"/>
      <c r="C21" s="3"/>
    </row>
    <row r="22" customFormat="false" ht="15" hidden="false" customHeight="false" outlineLevel="0" collapsed="false">
      <c r="A22" s="5" t="s">
        <v>125</v>
      </c>
      <c r="B22" s="18" t="n">
        <f aca="false">IFERROR(SKEW($A$40:$A$1039),"")</f>
        <v>-0.608051298654373</v>
      </c>
      <c r="C22" s="9" t="s">
        <v>126</v>
      </c>
    </row>
    <row r="23" customFormat="false" ht="15" hidden="false" customHeight="false" outlineLevel="0" collapsed="false">
      <c r="A23" s="5" t="s">
        <v>127</v>
      </c>
      <c r="B23" s="19" t="str">
        <f aca="false">IF(B22="","",IF(B22&gt;0.5,"POSITIVE / right skew: Mode &lt; Median &lt; Mean. A few very LARGE values.",IF(B22&lt;-0.5,"NEGATIVE / left skew: Mean &lt; Median &lt; Mode. A few very SMALL values.","Roughly symmetric (|skew| &lt; 0.5).")))</f>
        <v>NEGATIVE / left skew: Mean &lt; Median &lt; Mode. A few very SMALL values.</v>
      </c>
      <c r="C23" s="19"/>
    </row>
    <row r="24" customFormat="false" ht="15" hidden="false" customHeight="false" outlineLevel="0" collapsed="false">
      <c r="A24" s="5" t="s">
        <v>128</v>
      </c>
      <c r="B24" s="17" t="n">
        <f aca="false">IFERROR(3*(B7-B8)/B13,"")</f>
        <v>-0.373906171709854</v>
      </c>
      <c r="C24" s="9" t="s">
        <v>129</v>
      </c>
    </row>
    <row r="25" customFormat="false" ht="15" hidden="false" customHeight="false" outlineLevel="0" collapsed="false">
      <c r="A25" s="5" t="s">
        <v>130</v>
      </c>
      <c r="B25" s="17" t="n">
        <f aca="false">IFERROR(KURT($A$40:$A$1039),"")</f>
        <v>-0.681496842303705</v>
      </c>
      <c r="C25" s="9" t="s">
        <v>131</v>
      </c>
    </row>
    <row r="26" customFormat="false" ht="15" hidden="false" customHeight="false" outlineLevel="0" collapsed="false">
      <c r="A26" s="5" t="s">
        <v>132</v>
      </c>
      <c r="B26" s="18" t="n">
        <f aca="false">IFERROR(B25+3,"")</f>
        <v>2.3185031576963</v>
      </c>
      <c r="C26" s="9" t="s">
        <v>133</v>
      </c>
    </row>
    <row r="27" customFormat="false" ht="15" hidden="false" customHeight="false" outlineLevel="0" collapsed="false">
      <c r="A27" s="5" t="s">
        <v>127</v>
      </c>
      <c r="B27" s="19" t="str">
        <f aca="false">IF(B26="","",IF(B26&gt;3.5,"HEAVY TAILS: extreme values (both directions) are MORE common than Normal predicts. Normal approximation is risky.",IF(B26&lt;2.5,"LIGHT TAILS: fewer extremes than Normal.","Close to Normal.")))</f>
        <v>LIGHT TAILS: fewer extremes than Normal.</v>
      </c>
      <c r="C27" s="19"/>
    </row>
    <row r="28" customFormat="false" ht="15" hidden="false" customHeight="false" outlineLevel="0" collapsed="false">
      <c r="A28" s="9" t="s">
        <v>134</v>
      </c>
    </row>
    <row r="30" customFormat="false" ht="19.5" hidden="false" customHeight="true" outlineLevel="0" collapsed="false">
      <c r="A30" s="3" t="s">
        <v>135</v>
      </c>
      <c r="B30" s="3"/>
      <c r="C30" s="3"/>
    </row>
    <row r="31" customFormat="false" ht="15" hidden="false" customHeight="false" outlineLevel="0" collapsed="false">
      <c r="A31" s="5" t="s">
        <v>136</v>
      </c>
      <c r="B31" s="20" t="n">
        <v>0.9</v>
      </c>
      <c r="C31" s="9" t="s">
        <v>137</v>
      </c>
    </row>
    <row r="32" customFormat="false" ht="15" hidden="false" customHeight="false" outlineLevel="0" collapsed="false">
      <c r="A32" s="5" t="s">
        <v>138</v>
      </c>
      <c r="B32" s="18" t="n">
        <f aca="false">IFERROR(PERCENTILE($A$40:$A$1039,B31),"")</f>
        <v>9.6</v>
      </c>
      <c r="C32" s="9" t="s">
        <v>139</v>
      </c>
    </row>
    <row r="33" customFormat="false" ht="15" hidden="false" customHeight="false" outlineLevel="0" collapsed="false">
      <c r="A33" s="5" t="s">
        <v>140</v>
      </c>
      <c r="B33" s="17" t="n">
        <f aca="false">IFERROR(QUARTILE($A$40:$A$1039,1),"")</f>
        <v>5</v>
      </c>
    </row>
    <row r="34" customFormat="false" ht="15" hidden="false" customHeight="false" outlineLevel="0" collapsed="false">
      <c r="A34" s="5" t="s">
        <v>141</v>
      </c>
      <c r="B34" s="17" t="n">
        <f aca="false">IFERROR(QUARTILE($A$40:$A$1039,3),"")</f>
        <v>9</v>
      </c>
    </row>
    <row r="35" customFormat="false" ht="15" hidden="false" customHeight="false" outlineLevel="0" collapsed="false">
      <c r="A35" s="5" t="s">
        <v>142</v>
      </c>
      <c r="B35" s="20" t="n">
        <v>10</v>
      </c>
      <c r="C35" s="9" t="s">
        <v>143</v>
      </c>
    </row>
    <row r="36" customFormat="false" ht="15" hidden="false" customHeight="false" outlineLevel="0" collapsed="false">
      <c r="A36" s="5" t="s">
        <v>144</v>
      </c>
      <c r="B36" s="18" t="n">
        <f aca="false">IFERROR((B35-B7)/B13,"")</f>
        <v>1.05940081984459</v>
      </c>
      <c r="C36" s="9" t="s">
        <v>145</v>
      </c>
    </row>
    <row r="37" customFormat="false" ht="15" hidden="false" customHeight="false" outlineLevel="0" collapsed="false">
      <c r="A37" s="5" t="s">
        <v>146</v>
      </c>
      <c r="B37" s="21" t="n">
        <f aca="false">IFERROR(NORMSDIST(B36),"")</f>
        <v>0.855291361762677</v>
      </c>
      <c r="C37" s="9" t="s">
        <v>58</v>
      </c>
    </row>
    <row r="39" customFormat="false" ht="15" hidden="false" customHeight="false" outlineLevel="0" collapsed="false">
      <c r="A39" s="22" t="s">
        <v>147</v>
      </c>
      <c r="C39" s="9" t="s">
        <v>148</v>
      </c>
    </row>
    <row r="40" customFormat="false" ht="15" hidden="false" customHeight="false" outlineLevel="0" collapsed="false">
      <c r="A40" s="20" t="n">
        <v>2</v>
      </c>
    </row>
    <row r="41" customFormat="false" ht="15" hidden="false" customHeight="false" outlineLevel="0" collapsed="false">
      <c r="A41" s="20" t="n">
        <v>5</v>
      </c>
    </row>
    <row r="42" customFormat="false" ht="15" hidden="false" customHeight="false" outlineLevel="0" collapsed="false">
      <c r="A42" s="20" t="n">
        <v>7</v>
      </c>
    </row>
    <row r="43" customFormat="false" ht="15" hidden="false" customHeight="false" outlineLevel="0" collapsed="false">
      <c r="A43" s="20" t="n">
        <v>9</v>
      </c>
    </row>
    <row r="44" customFormat="false" ht="15" hidden="false" customHeight="false" outlineLevel="0" collapsed="false">
      <c r="A44" s="20" t="n">
        <v>10</v>
      </c>
    </row>
    <row r="45" customFormat="false" ht="15" hidden="false" customHeight="false" outlineLevel="0" collapsed="false">
      <c r="A45" s="23"/>
    </row>
    <row r="46" customFormat="false" ht="15" hidden="false" customHeight="false" outlineLevel="0" collapsed="false">
      <c r="A46" s="23"/>
    </row>
    <row r="47" customFormat="false" ht="15" hidden="false" customHeight="false" outlineLevel="0" collapsed="false">
      <c r="A47" s="23"/>
    </row>
    <row r="48" customFormat="false" ht="15" hidden="false" customHeight="false" outlineLevel="0" collapsed="false">
      <c r="A48" s="23"/>
    </row>
    <row r="49" customFormat="false" ht="15" hidden="false" customHeight="false" outlineLevel="0" collapsed="false">
      <c r="A49" s="23"/>
    </row>
    <row r="50" customFormat="false" ht="15" hidden="false" customHeight="false" outlineLevel="0" collapsed="false">
      <c r="A50" s="23"/>
    </row>
    <row r="51" customFormat="false" ht="15" hidden="false" customHeight="false" outlineLevel="0" collapsed="false">
      <c r="A51" s="23"/>
    </row>
    <row r="52" customFormat="false" ht="15" hidden="false" customHeight="false" outlineLevel="0" collapsed="false">
      <c r="A52" s="23"/>
    </row>
    <row r="53" customFormat="false" ht="15" hidden="false" customHeight="false" outlineLevel="0" collapsed="false">
      <c r="A53" s="23"/>
    </row>
    <row r="54" customFormat="false" ht="15" hidden="false" customHeight="false" outlineLevel="0" collapsed="false">
      <c r="A54" s="23"/>
    </row>
    <row r="55" customFormat="false" ht="15" hidden="false" customHeight="false" outlineLevel="0" collapsed="false">
      <c r="A55" s="23"/>
    </row>
    <row r="56" customFormat="false" ht="15" hidden="false" customHeight="false" outlineLevel="0" collapsed="false">
      <c r="A56" s="23"/>
    </row>
    <row r="57" customFormat="false" ht="15" hidden="false" customHeight="false" outlineLevel="0" collapsed="false">
      <c r="A57" s="23"/>
    </row>
    <row r="58" customFormat="false" ht="15" hidden="false" customHeight="false" outlineLevel="0" collapsed="false">
      <c r="A58" s="23"/>
    </row>
    <row r="59" customFormat="false" ht="15" hidden="false" customHeight="false" outlineLevel="0" collapsed="false">
      <c r="A59" s="23"/>
    </row>
    <row r="60" customFormat="false" ht="15" hidden="false" customHeight="false" outlineLevel="0" collapsed="false">
      <c r="A60" s="23"/>
    </row>
    <row r="61" customFormat="false" ht="15" hidden="false" customHeight="false" outlineLevel="0" collapsed="false">
      <c r="A61" s="23"/>
    </row>
    <row r="62" customFormat="false" ht="15" hidden="false" customHeight="false" outlineLevel="0" collapsed="false">
      <c r="A62" s="23"/>
    </row>
    <row r="63" customFormat="false" ht="15" hidden="false" customHeight="false" outlineLevel="0" collapsed="false">
      <c r="A63" s="23"/>
    </row>
    <row r="64" customFormat="false" ht="15" hidden="false" customHeight="false" outlineLevel="0" collapsed="false">
      <c r="A64" s="23"/>
    </row>
    <row r="65" customFormat="false" ht="15" hidden="false" customHeight="false" outlineLevel="0" collapsed="false">
      <c r="A65" s="23"/>
    </row>
    <row r="66" customFormat="false" ht="15" hidden="false" customHeight="false" outlineLevel="0" collapsed="false">
      <c r="A66" s="23"/>
    </row>
    <row r="67" customFormat="false" ht="15" hidden="false" customHeight="false" outlineLevel="0" collapsed="false">
      <c r="A67" s="23"/>
    </row>
    <row r="68" customFormat="false" ht="15" hidden="false" customHeight="false" outlineLevel="0" collapsed="false">
      <c r="A68" s="23"/>
    </row>
    <row r="69" customFormat="false" ht="15" hidden="false" customHeight="false" outlineLevel="0" collapsed="false">
      <c r="A69" s="23"/>
    </row>
    <row r="70" customFormat="false" ht="15" hidden="false" customHeight="false" outlineLevel="0" collapsed="false">
      <c r="A70" s="23"/>
    </row>
    <row r="71" customFormat="false" ht="15" hidden="false" customHeight="false" outlineLevel="0" collapsed="false">
      <c r="A71" s="23"/>
    </row>
    <row r="72" customFormat="false" ht="15" hidden="false" customHeight="false" outlineLevel="0" collapsed="false">
      <c r="A72" s="23"/>
    </row>
    <row r="73" customFormat="false" ht="15" hidden="false" customHeight="false" outlineLevel="0" collapsed="false">
      <c r="A73" s="23"/>
    </row>
    <row r="74" customFormat="false" ht="15" hidden="false" customHeight="false" outlineLevel="0" collapsed="false">
      <c r="A74" s="23"/>
    </row>
    <row r="75" customFormat="false" ht="15" hidden="false" customHeight="false" outlineLevel="0" collapsed="false">
      <c r="A75" s="23"/>
    </row>
    <row r="76" customFormat="false" ht="15" hidden="false" customHeight="false" outlineLevel="0" collapsed="false">
      <c r="A76" s="23"/>
    </row>
    <row r="77" customFormat="false" ht="15" hidden="false" customHeight="false" outlineLevel="0" collapsed="false">
      <c r="A77" s="23"/>
    </row>
    <row r="78" customFormat="false" ht="15" hidden="false" customHeight="false" outlineLevel="0" collapsed="false">
      <c r="A78" s="23"/>
    </row>
    <row r="79" customFormat="false" ht="15" hidden="false" customHeight="false" outlineLevel="0" collapsed="false">
      <c r="A79" s="23"/>
    </row>
    <row r="80" customFormat="false" ht="15" hidden="false" customHeight="false" outlineLevel="0" collapsed="false">
      <c r="A80" s="23"/>
    </row>
    <row r="81" customFormat="false" ht="15" hidden="false" customHeight="false" outlineLevel="0" collapsed="false">
      <c r="A81" s="23"/>
    </row>
    <row r="82" customFormat="false" ht="15" hidden="false" customHeight="false" outlineLevel="0" collapsed="false">
      <c r="A82" s="23"/>
    </row>
    <row r="83" customFormat="false" ht="15" hidden="false" customHeight="false" outlineLevel="0" collapsed="false">
      <c r="A83" s="23"/>
    </row>
    <row r="84" customFormat="false" ht="15" hidden="false" customHeight="false" outlineLevel="0" collapsed="false">
      <c r="A84" s="23"/>
    </row>
    <row r="85" customFormat="false" ht="15" hidden="false" customHeight="false" outlineLevel="0" collapsed="false">
      <c r="A85" s="23"/>
    </row>
    <row r="86" customFormat="false" ht="15" hidden="false" customHeight="false" outlineLevel="0" collapsed="false">
      <c r="A86" s="23"/>
    </row>
    <row r="87" customFormat="false" ht="15" hidden="false" customHeight="false" outlineLevel="0" collapsed="false">
      <c r="A87" s="23"/>
    </row>
    <row r="88" customFormat="false" ht="15" hidden="false" customHeight="false" outlineLevel="0" collapsed="false">
      <c r="A88" s="23"/>
    </row>
    <row r="89" customFormat="false" ht="15" hidden="false" customHeight="false" outlineLevel="0" collapsed="false">
      <c r="A89" s="23"/>
    </row>
    <row r="90" customFormat="false" ht="15" hidden="false" customHeight="false" outlineLevel="0" collapsed="false">
      <c r="A90" s="23"/>
    </row>
    <row r="91" customFormat="false" ht="15" hidden="false" customHeight="false" outlineLevel="0" collapsed="false">
      <c r="A91" s="23"/>
    </row>
    <row r="92" customFormat="false" ht="15" hidden="false" customHeight="false" outlineLevel="0" collapsed="false">
      <c r="A92" s="23"/>
    </row>
    <row r="93" customFormat="false" ht="15" hidden="false" customHeight="false" outlineLevel="0" collapsed="false">
      <c r="A93" s="23"/>
    </row>
    <row r="94" customFormat="false" ht="15" hidden="false" customHeight="false" outlineLevel="0" collapsed="false">
      <c r="A94" s="23"/>
    </row>
    <row r="95" customFormat="false" ht="15" hidden="false" customHeight="false" outlineLevel="0" collapsed="false">
      <c r="A95" s="23"/>
    </row>
    <row r="96" customFormat="false" ht="15" hidden="false" customHeight="false" outlineLevel="0" collapsed="false">
      <c r="A96" s="23"/>
    </row>
    <row r="97" customFormat="false" ht="15" hidden="false" customHeight="false" outlineLevel="0" collapsed="false">
      <c r="A97" s="23"/>
    </row>
    <row r="98" customFormat="false" ht="15" hidden="false" customHeight="false" outlineLevel="0" collapsed="false">
      <c r="A98" s="23"/>
    </row>
    <row r="99" customFormat="false" ht="15" hidden="false" customHeight="false" outlineLevel="0" collapsed="false">
      <c r="A99" s="23"/>
    </row>
  </sheetData>
  <mergeCells count="8">
    <mergeCell ref="A1:H1"/>
    <mergeCell ref="A2:H2"/>
    <mergeCell ref="A4:C4"/>
    <mergeCell ref="A11:C11"/>
    <mergeCell ref="A21:C21"/>
    <mergeCell ref="B23:C23"/>
    <mergeCell ref="B27:C27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4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30" hidden="false" customHeight="true" outlineLevel="0" collapsed="false">
      <c r="A1" s="1" t="s">
        <v>149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150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151</v>
      </c>
      <c r="B4" s="3"/>
      <c r="C4" s="3"/>
    </row>
    <row r="5" customFormat="false" ht="15" hidden="false" customHeight="false" outlineLevel="0" collapsed="false">
      <c r="A5" s="5" t="s">
        <v>152</v>
      </c>
      <c r="B5" s="20" t="n">
        <v>90</v>
      </c>
      <c r="C5" s="9" t="s">
        <v>153</v>
      </c>
    </row>
    <row r="6" customFormat="false" ht="15" hidden="false" customHeight="false" outlineLevel="0" collapsed="false">
      <c r="A6" s="5" t="s">
        <v>154</v>
      </c>
      <c r="B6" s="20" t="n">
        <v>75</v>
      </c>
    </row>
    <row r="7" customFormat="false" ht="15" hidden="false" customHeight="false" outlineLevel="0" collapsed="false">
      <c r="A7" s="5" t="s">
        <v>155</v>
      </c>
      <c r="B7" s="20" t="n">
        <v>10</v>
      </c>
    </row>
    <row r="8" customFormat="false" ht="15" hidden="false" customHeight="false" outlineLevel="0" collapsed="false">
      <c r="A8" s="5" t="s">
        <v>55</v>
      </c>
      <c r="B8" s="18" t="n">
        <f aca="false">IFERROR((B5-B6)/B7,"")</f>
        <v>1.5</v>
      </c>
      <c r="C8" s="9" t="s">
        <v>145</v>
      </c>
    </row>
    <row r="9" customFormat="false" ht="15" hidden="false" customHeight="false" outlineLevel="0" collapsed="false">
      <c r="A9" s="5" t="s">
        <v>156</v>
      </c>
      <c r="B9" s="21" t="n">
        <f aca="false">IFERROR(NORMSDIST(B8),"")</f>
        <v>0.933192798731142</v>
      </c>
      <c r="C9" s="9" t="s">
        <v>157</v>
      </c>
    </row>
    <row r="10" customFormat="false" ht="15" hidden="false" customHeight="false" outlineLevel="0" collapsed="false">
      <c r="A10" s="5" t="s">
        <v>158</v>
      </c>
      <c r="B10" s="24" t="n">
        <f aca="false">IFERROR(B9,"")</f>
        <v>0.933192798731142</v>
      </c>
    </row>
    <row r="11" customFormat="false" ht="15" hidden="false" customHeight="false" outlineLevel="0" collapsed="false">
      <c r="A11" s="5" t="s">
        <v>159</v>
      </c>
      <c r="B11" s="24" t="n">
        <f aca="false">IFERROR(1-B9,"")</f>
        <v>0.0668072012688581</v>
      </c>
      <c r="C11" s="9" t="s">
        <v>160</v>
      </c>
    </row>
    <row r="12" customFormat="false" ht="15" hidden="false" customHeight="false" outlineLevel="0" collapsed="false">
      <c r="A12" s="5" t="s">
        <v>161</v>
      </c>
      <c r="B12" s="19" t="str">
        <f aca="false">IF(B9="","","You beat "&amp;TEXT(B9,"0.0%")&amp;" of the group  -&gt;  the "&amp;TEXT(ROUND(B9*100,0),"0")&amp;"th percentile.")</f>
        <v>You beat 93.3% of the group  -&gt;  the 93th percentile.</v>
      </c>
      <c r="C12" s="19"/>
    </row>
    <row r="13" customFormat="false" ht="15" hidden="false" customHeight="false" outlineLevel="0" collapsed="false">
      <c r="A13" s="9" t="s">
        <v>162</v>
      </c>
    </row>
    <row r="15" customFormat="false" ht="19.5" hidden="false" customHeight="true" outlineLevel="0" collapsed="false">
      <c r="A15" s="3" t="s">
        <v>163</v>
      </c>
      <c r="B15" s="3"/>
      <c r="C15" s="3"/>
    </row>
    <row r="16" customFormat="false" ht="15" hidden="false" customHeight="false" outlineLevel="0" collapsed="false">
      <c r="A16" s="9" t="s">
        <v>164</v>
      </c>
    </row>
    <row r="17" customFormat="false" ht="15" hidden="false" customHeight="false" outlineLevel="0" collapsed="false">
      <c r="A17" s="25"/>
      <c r="B17" s="25" t="s">
        <v>165</v>
      </c>
      <c r="C17" s="25" t="s">
        <v>166</v>
      </c>
      <c r="D17" s="25" t="s">
        <v>167</v>
      </c>
      <c r="E17" s="25" t="s">
        <v>55</v>
      </c>
      <c r="F17" s="25" t="s">
        <v>168</v>
      </c>
    </row>
    <row r="18" customFormat="false" ht="15" hidden="false" customHeight="false" outlineLevel="0" collapsed="false">
      <c r="A18" s="11" t="s">
        <v>169</v>
      </c>
      <c r="B18" s="20" t="n">
        <v>11.75</v>
      </c>
      <c r="C18" s="20" t="n">
        <v>0.57</v>
      </c>
      <c r="D18" s="20" t="n">
        <v>7.25</v>
      </c>
      <c r="E18" s="18" t="n">
        <f aca="false">IFERROR((B18-C18)/D18,"")</f>
        <v>1.54206896551724</v>
      </c>
      <c r="F18" s="26" t="n">
        <f aca="false">IFERROR(NORMSDIST(E18),"")</f>
        <v>0.938471582238839</v>
      </c>
    </row>
    <row r="19" customFormat="false" ht="15" hidden="false" customHeight="false" outlineLevel="0" collapsed="false">
      <c r="A19" s="11" t="s">
        <v>170</v>
      </c>
      <c r="B19" s="20" t="n">
        <v>10.39</v>
      </c>
      <c r="C19" s="20" t="n">
        <v>0.46</v>
      </c>
      <c r="D19" s="20" t="n">
        <v>4.49</v>
      </c>
      <c r="E19" s="18" t="n">
        <f aca="false">IFERROR((B19-C19)/D19,"")</f>
        <v>2.21158129175947</v>
      </c>
      <c r="F19" s="26" t="n">
        <f aca="false">IFERROR(NORMSDIST(E19),"")</f>
        <v>0.986502195371289</v>
      </c>
    </row>
    <row r="20" customFormat="false" ht="15" hidden="false" customHeight="false" outlineLevel="0" collapsed="false">
      <c r="A20" s="27" t="s">
        <v>171</v>
      </c>
      <c r="B20" s="28" t="str">
        <f aca="false">IF(OR(E18="",E19=""),"",IF(ABS(E18)&gt;ABS(E19),"Case A - it is "&amp;TEXT(ABS(E18),"0.00")&amp;" stdevs from its own mean, vs "&amp;TEXT(ABS(E19),"0.00")&amp;" for Case B.","Case B - it is "&amp;TEXT(ABS(E19),"0.00")&amp;" stdevs from its own mean, vs "&amp;TEXT(ABS(E18),"0.00")&amp;" for Case A."))</f>
        <v>Case B - it is 2.21 stdevs from its own mean, vs 1.54 for Case A.</v>
      </c>
      <c r="C20" s="28"/>
      <c r="D20" s="28"/>
      <c r="E20" s="28"/>
      <c r="F20" s="28"/>
    </row>
    <row r="21" customFormat="false" ht="15" hidden="false" customHeight="false" outlineLevel="0" collapsed="false">
      <c r="A21" s="9" t="s">
        <v>172</v>
      </c>
    </row>
    <row r="23" customFormat="false" ht="19.5" hidden="false" customHeight="true" outlineLevel="0" collapsed="false">
      <c r="A23" s="3" t="s">
        <v>173</v>
      </c>
      <c r="B23" s="3"/>
      <c r="C23" s="3"/>
    </row>
    <row r="24" customFormat="false" ht="15" hidden="false" customHeight="false" outlineLevel="0" collapsed="false">
      <c r="A24" s="5" t="s">
        <v>154</v>
      </c>
      <c r="B24" s="20" t="n">
        <v>80</v>
      </c>
      <c r="C24" s="9" t="s">
        <v>174</v>
      </c>
    </row>
    <row r="25" customFormat="false" ht="15" hidden="false" customHeight="false" outlineLevel="0" collapsed="false">
      <c r="A25" s="5" t="s">
        <v>155</v>
      </c>
      <c r="B25" s="20" t="n">
        <v>10</v>
      </c>
    </row>
    <row r="26" customFormat="false" ht="15" hidden="false" customHeight="false" outlineLevel="0" collapsed="false">
      <c r="A26" s="5" t="s">
        <v>175</v>
      </c>
      <c r="B26" s="20" t="n">
        <v>0.1</v>
      </c>
      <c r="C26" s="9" t="s">
        <v>176</v>
      </c>
    </row>
    <row r="27" customFormat="false" ht="15" hidden="false" customHeight="false" outlineLevel="0" collapsed="false">
      <c r="A27" s="5" t="s">
        <v>177</v>
      </c>
      <c r="B27" s="17" t="n">
        <f aca="false">IFERROR(1-B26,"")</f>
        <v>0.9</v>
      </c>
      <c r="C27" s="9" t="s">
        <v>178</v>
      </c>
    </row>
    <row r="28" customFormat="false" ht="15" hidden="false" customHeight="false" outlineLevel="0" collapsed="false">
      <c r="A28" s="5" t="s">
        <v>179</v>
      </c>
      <c r="B28" s="18" t="n">
        <f aca="false">IFERROR(NORMINV(1-B26,B24,B25),"")</f>
        <v>92.815515655446</v>
      </c>
      <c r="C28" s="9" t="s">
        <v>180</v>
      </c>
    </row>
    <row r="29" customFormat="false" ht="15" hidden="false" customHeight="false" outlineLevel="0" collapsed="false">
      <c r="A29" s="5" t="s">
        <v>181</v>
      </c>
      <c r="B29" s="17" t="n">
        <f aca="false">IFERROR(NORMSINV(1-B26),"")</f>
        <v>1.2815515655446</v>
      </c>
      <c r="C29" s="9" t="s">
        <v>182</v>
      </c>
    </row>
    <row r="30" customFormat="false" ht="15" hidden="false" customHeight="false" outlineLevel="0" collapsed="false">
      <c r="A30" s="9" t="s">
        <v>183</v>
      </c>
    </row>
    <row r="31" customFormat="false" ht="15" hidden="false" customHeight="false" outlineLevel="0" collapsed="false">
      <c r="A31" s="5" t="s">
        <v>184</v>
      </c>
      <c r="B31" s="20" t="n">
        <v>0.05</v>
      </c>
      <c r="C31" s="9" t="s">
        <v>185</v>
      </c>
    </row>
    <row r="32" customFormat="false" ht="15" hidden="false" customHeight="false" outlineLevel="0" collapsed="false">
      <c r="A32" s="5" t="s">
        <v>186</v>
      </c>
      <c r="B32" s="18" t="n">
        <f aca="false">IFERROR(NORMINV(B31,B24,B25),"")</f>
        <v>63.5514637304853</v>
      </c>
      <c r="C32" s="9" t="s">
        <v>187</v>
      </c>
    </row>
    <row r="33" customFormat="false" ht="15" hidden="false" customHeight="false" outlineLevel="0" collapsed="false">
      <c r="A33" s="9" t="s">
        <v>188</v>
      </c>
    </row>
    <row r="35" customFormat="false" ht="19.5" hidden="false" customHeight="true" outlineLevel="0" collapsed="false">
      <c r="A35" s="3" t="s">
        <v>189</v>
      </c>
      <c r="B35" s="3"/>
      <c r="C35" s="3"/>
    </row>
    <row r="36" customFormat="false" ht="15" hidden="false" customHeight="false" outlineLevel="0" collapsed="false">
      <c r="A36" s="25" t="s">
        <v>190</v>
      </c>
      <c r="B36" s="25" t="s">
        <v>191</v>
      </c>
      <c r="C36" s="25" t="s">
        <v>192</v>
      </c>
      <c r="D36" s="25" t="s">
        <v>193</v>
      </c>
      <c r="E36" s="25" t="s">
        <v>194</v>
      </c>
    </row>
    <row r="37" customFormat="false" ht="15" hidden="false" customHeight="false" outlineLevel="0" collapsed="false">
      <c r="A37" s="11" t="s">
        <v>195</v>
      </c>
      <c r="B37" s="17" t="n">
        <f aca="false">$B$24-1*$B$25</f>
        <v>70</v>
      </c>
      <c r="C37" s="17" t="n">
        <f aca="false">$B$24+1*$B$25</f>
        <v>90</v>
      </c>
      <c r="D37" s="26" t="n">
        <f aca="false">NORMSDIST(1)-NORMSDIST(-1)</f>
        <v>0.682689492137086</v>
      </c>
      <c r="E37" s="26" t="n">
        <f aca="false">1-D37</f>
        <v>0.317310507862914</v>
      </c>
    </row>
    <row r="38" customFormat="false" ht="15" hidden="false" customHeight="false" outlineLevel="0" collapsed="false">
      <c r="A38" s="11" t="s">
        <v>196</v>
      </c>
      <c r="B38" s="17" t="n">
        <f aca="false">$B$24-2*$B$25</f>
        <v>60</v>
      </c>
      <c r="C38" s="17" t="n">
        <f aca="false">$B$24+2*$B$25</f>
        <v>100</v>
      </c>
      <c r="D38" s="26" t="n">
        <f aca="false">NORMSDIST(2)-NORMSDIST(-2)</f>
        <v>0.954499736103642</v>
      </c>
      <c r="E38" s="26" t="n">
        <f aca="false">1-D38</f>
        <v>0.0455002638963584</v>
      </c>
    </row>
    <row r="39" customFormat="false" ht="15" hidden="false" customHeight="false" outlineLevel="0" collapsed="false">
      <c r="A39" s="11" t="s">
        <v>197</v>
      </c>
      <c r="B39" s="17" t="n">
        <f aca="false">$B$24-3*$B$25</f>
        <v>50</v>
      </c>
      <c r="C39" s="17" t="n">
        <f aca="false">$B$24+3*$B$25</f>
        <v>110</v>
      </c>
      <c r="D39" s="26" t="n">
        <f aca="false">NORMSDIST(3)-NORMSDIST(-3)</f>
        <v>0.99730020393674</v>
      </c>
      <c r="E39" s="26" t="n">
        <f aca="false">1-D39</f>
        <v>0.00269979606326021</v>
      </c>
    </row>
    <row r="40" customFormat="false" ht="15" hidden="false" customHeight="false" outlineLevel="0" collapsed="false">
      <c r="A40" s="9" t="s">
        <v>198</v>
      </c>
    </row>
  </sheetData>
  <mergeCells count="8">
    <mergeCell ref="A1:H1"/>
    <mergeCell ref="A2:H2"/>
    <mergeCell ref="A4:C4"/>
    <mergeCell ref="B12:C12"/>
    <mergeCell ref="A15:C15"/>
    <mergeCell ref="B20:F20"/>
    <mergeCell ref="A23:C23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6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199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200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201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29" t="s">
        <v>202</v>
      </c>
      <c r="D5" s="5" t="s">
        <v>203</v>
      </c>
      <c r="E5" s="30" t="n">
        <f aca="false">COUNT($A$30:$A$1029)</f>
        <v>8</v>
      </c>
      <c r="F5" s="9" t="s">
        <v>204</v>
      </c>
    </row>
    <row r="6" customFormat="false" ht="25.5" hidden="false" customHeight="true" outlineLevel="0" collapsed="false">
      <c r="A6" s="31" t="s">
        <v>205</v>
      </c>
      <c r="B6" s="31"/>
      <c r="D6" s="5" t="s">
        <v>206</v>
      </c>
      <c r="E6" s="17" t="n">
        <f aca="false">IFERROR(AVERAGE($A$30:$A$1029),"")</f>
        <v>4.5</v>
      </c>
      <c r="F6" s="9"/>
    </row>
    <row r="7" customFormat="false" ht="25.5" hidden="false" customHeight="true" outlineLevel="0" collapsed="false">
      <c r="A7" s="31" t="s">
        <v>207</v>
      </c>
      <c r="B7" s="31"/>
      <c r="D7" s="5" t="s">
        <v>208</v>
      </c>
      <c r="E7" s="17" t="n">
        <f aca="false">IFERROR(AVERAGE($B$30:$B$1029),"")</f>
        <v>5.625</v>
      </c>
      <c r="F7" s="9"/>
    </row>
    <row r="8" customFormat="false" ht="25.5" hidden="false" customHeight="true" outlineLevel="0" collapsed="false">
      <c r="A8" s="31" t="s">
        <v>209</v>
      </c>
      <c r="B8" s="31"/>
      <c r="D8" s="5" t="s">
        <v>210</v>
      </c>
      <c r="E8" s="17" t="n">
        <f aca="false">IFERROR(STDEV($A$30:$A$1029),"")</f>
        <v>2.44948974278318</v>
      </c>
      <c r="F8" s="9" t="s">
        <v>211</v>
      </c>
    </row>
    <row r="9" customFormat="false" ht="25.5" hidden="false" customHeight="true" outlineLevel="0" collapsed="false">
      <c r="A9" s="31" t="s">
        <v>212</v>
      </c>
      <c r="B9" s="31"/>
      <c r="D9" s="5" t="s">
        <v>213</v>
      </c>
      <c r="E9" s="17" t="n">
        <f aca="false">IFERROR(STDEV($B$30:$B$1029),"")</f>
        <v>2.32609421256197</v>
      </c>
      <c r="F9" s="9" t="s">
        <v>211</v>
      </c>
    </row>
    <row r="10" customFormat="false" ht="15" hidden="false" customHeight="false" outlineLevel="0" collapsed="false">
      <c r="D10" s="5" t="s">
        <v>214</v>
      </c>
      <c r="E10" s="21" t="n">
        <f aca="false">IFERROR(CORREL($A$30:$A$1029,$B$30:$B$1029),"")</f>
        <v>0.965294348537239</v>
      </c>
      <c r="F10" s="9" t="s">
        <v>215</v>
      </c>
    </row>
    <row r="11" customFormat="false" ht="15" hidden="false" customHeight="false" outlineLevel="0" collapsed="false">
      <c r="D11" s="5" t="s">
        <v>216</v>
      </c>
      <c r="E11" s="26" t="n">
        <f aca="false">IFERROR(RSQ($B$30:$B$1029,$A$30:$A$1029),"")</f>
        <v>0.931793179317932</v>
      </c>
      <c r="F11" s="9" t="s">
        <v>217</v>
      </c>
    </row>
    <row r="12" customFormat="false" ht="15" hidden="false" customHeight="false" outlineLevel="0" collapsed="false">
      <c r="D12" s="5" t="s">
        <v>218</v>
      </c>
      <c r="E12" s="17" t="n">
        <f aca="false">IFERROR(COVAR($A$30:$A$1029,$B$30:$B$1029)*E5/(E5-1),"")</f>
        <v>5.5</v>
      </c>
      <c r="F12" s="9" t="s">
        <v>219</v>
      </c>
    </row>
    <row r="13" customFormat="false" ht="15" hidden="false" customHeight="false" outlineLevel="0" collapsed="false">
      <c r="D13" s="5" t="s">
        <v>220</v>
      </c>
      <c r="E13" s="17" t="n">
        <f aca="false">IFERROR(COVAR($A$30:$A$1029,$B$30:$B$1029),"")</f>
        <v>4.8125</v>
      </c>
      <c r="F13" s="9" t="s">
        <v>221</v>
      </c>
    </row>
    <row r="14" customFormat="false" ht="15" hidden="false" customHeight="false" outlineLevel="0" collapsed="false">
      <c r="D14" s="5" t="s">
        <v>222</v>
      </c>
      <c r="E14" s="17" t="n">
        <f aca="false">IFERROR(SLOPE($B$30:$B$1029,$A$30:$A$1029),"")</f>
        <v>0.916666666666667</v>
      </c>
      <c r="F14" s="9" t="s">
        <v>223</v>
      </c>
    </row>
    <row r="15" customFormat="false" ht="15" hidden="false" customHeight="false" outlineLevel="0" collapsed="false">
      <c r="D15" s="5" t="s">
        <v>224</v>
      </c>
      <c r="E15" s="17" t="n">
        <f aca="false">IFERROR(INTERCEPT($B$30:$B$1029,$A$30:$A$1029),"")</f>
        <v>1.5</v>
      </c>
      <c r="F15" s="9"/>
    </row>
    <row r="16" customFormat="false" ht="15" hidden="false" customHeight="false" outlineLevel="0" collapsed="false">
      <c r="D16" s="5" t="s">
        <v>225</v>
      </c>
      <c r="E16" s="32" t="str">
        <f aca="false">IF(E14="","","Y = "&amp;TEXT(E15,"0.000")&amp;" + "&amp;TEXT(E14,"0.000")&amp;" * X")</f>
        <v>Y = 1.500 + 0.917 * X</v>
      </c>
      <c r="F16" s="32"/>
    </row>
    <row r="18" customFormat="false" ht="15" hidden="false" customHeight="false" outlineLevel="0" collapsed="false">
      <c r="D18" s="29" t="s">
        <v>226</v>
      </c>
    </row>
    <row r="19" customFormat="false" ht="27.75" hidden="false" customHeight="true" outlineLevel="0" collapsed="false">
      <c r="D19" s="33" t="str">
        <f aca="false">IF(E10="","",IF(E10&gt;0,"POSITIVE (+): X and Y move in the SAME direction. ","NEGATIVE (-): X and Y move in OPPOSITE directions. ")&amp;IF(ABS(E10)&gt;0.8,"Strong linear relationship.",IF(ABS(E10)&gt;0.5,"Moderate linear relationship.",IF(ABS(E10)&gt;0.2,"Weak linear relationship.","Almost no linear relationship."))))</f>
        <v>POSITIVE (+): X and Y move in the SAME direction. Strong linear relationship.</v>
      </c>
      <c r="E19" s="33"/>
      <c r="F19" s="33"/>
    </row>
    <row r="21" customFormat="false" ht="15" hidden="false" customHeight="false" outlineLevel="0" collapsed="false">
      <c r="D21" s="29" t="s">
        <v>227</v>
      </c>
    </row>
    <row r="22" customFormat="false" ht="15" hidden="false" customHeight="false" outlineLevel="0" collapsed="false">
      <c r="D22" s="5" t="s">
        <v>228</v>
      </c>
      <c r="E22" s="34" t="n">
        <v>0.5</v>
      </c>
    </row>
    <row r="23" customFormat="false" ht="15" hidden="false" customHeight="false" outlineLevel="0" collapsed="false">
      <c r="D23" s="5" t="s">
        <v>229</v>
      </c>
      <c r="E23" s="34" t="n">
        <v>3.16</v>
      </c>
    </row>
    <row r="24" customFormat="false" ht="15" hidden="false" customHeight="false" outlineLevel="0" collapsed="false">
      <c r="D24" s="5" t="s">
        <v>230</v>
      </c>
      <c r="E24" s="34" t="n">
        <v>2.68</v>
      </c>
    </row>
    <row r="25" customFormat="false" ht="15" hidden="false" customHeight="false" outlineLevel="0" collapsed="false">
      <c r="D25" s="5" t="s">
        <v>231</v>
      </c>
      <c r="E25" s="35" t="n">
        <f aca="false">E22*E23*E24</f>
        <v>4.2344</v>
      </c>
      <c r="F25" s="9" t="s">
        <v>232</v>
      </c>
    </row>
    <row r="26" customFormat="false" ht="15" hidden="false" customHeight="false" outlineLevel="0" collapsed="false">
      <c r="D26" s="5" t="s">
        <v>233</v>
      </c>
      <c r="E26" s="34" t="n">
        <v>4.24</v>
      </c>
    </row>
    <row r="27" customFormat="false" ht="15" hidden="false" customHeight="false" outlineLevel="0" collapsed="false">
      <c r="D27" s="5" t="s">
        <v>234</v>
      </c>
      <c r="E27" s="36" t="n">
        <f aca="false">IFERROR(E26/(E23*E24),"")</f>
        <v>0.500661250708483</v>
      </c>
      <c r="F27" s="9" t="s">
        <v>235</v>
      </c>
    </row>
    <row r="29" customFormat="false" ht="15" hidden="false" customHeight="false" outlineLevel="0" collapsed="false">
      <c r="A29" s="37" t="s">
        <v>236</v>
      </c>
      <c r="B29" s="37" t="s">
        <v>237</v>
      </c>
      <c r="C29" s="9" t="s">
        <v>238</v>
      </c>
    </row>
    <row r="30" customFormat="false" ht="15" hidden="false" customHeight="false" outlineLevel="0" collapsed="false">
      <c r="A30" s="20" t="n">
        <v>1</v>
      </c>
      <c r="B30" s="20" t="n">
        <v>2</v>
      </c>
    </row>
    <row r="31" customFormat="false" ht="15" hidden="false" customHeight="false" outlineLevel="0" collapsed="false">
      <c r="A31" s="20" t="n">
        <v>2</v>
      </c>
      <c r="B31" s="20" t="n">
        <v>4</v>
      </c>
    </row>
    <row r="32" customFormat="false" ht="15" hidden="false" customHeight="false" outlineLevel="0" collapsed="false">
      <c r="A32" s="20" t="n">
        <v>3</v>
      </c>
      <c r="B32" s="20" t="n">
        <v>5</v>
      </c>
    </row>
    <row r="33" customFormat="false" ht="15" hidden="false" customHeight="false" outlineLevel="0" collapsed="false">
      <c r="A33" s="20" t="n">
        <v>4</v>
      </c>
      <c r="B33" s="20" t="n">
        <v>4</v>
      </c>
    </row>
    <row r="34" customFormat="false" ht="15" hidden="false" customHeight="false" outlineLevel="0" collapsed="false">
      <c r="A34" s="20" t="n">
        <v>5</v>
      </c>
      <c r="B34" s="20" t="n">
        <v>6</v>
      </c>
    </row>
    <row r="35" customFormat="false" ht="15" hidden="false" customHeight="false" outlineLevel="0" collapsed="false">
      <c r="A35" s="20" t="n">
        <v>6</v>
      </c>
      <c r="B35" s="20" t="n">
        <v>7</v>
      </c>
    </row>
    <row r="36" customFormat="false" ht="15" hidden="false" customHeight="false" outlineLevel="0" collapsed="false">
      <c r="A36" s="20" t="n">
        <v>7</v>
      </c>
      <c r="B36" s="20" t="n">
        <v>8</v>
      </c>
    </row>
    <row r="37" customFormat="false" ht="15" hidden="false" customHeight="false" outlineLevel="0" collapsed="false">
      <c r="A37" s="20" t="n">
        <v>8</v>
      </c>
      <c r="B37" s="20" t="n">
        <v>9</v>
      </c>
    </row>
    <row r="38" customFormat="false" ht="15" hidden="false" customHeight="false" outlineLevel="0" collapsed="false">
      <c r="A38" s="20"/>
      <c r="B38" s="20"/>
    </row>
    <row r="39" customFormat="false" ht="15" hidden="false" customHeight="false" outlineLevel="0" collapsed="false">
      <c r="A39" s="20"/>
      <c r="B39" s="20"/>
    </row>
    <row r="40" customFormat="false" ht="15" hidden="false" customHeight="false" outlineLevel="0" collapsed="false">
      <c r="A40" s="20"/>
      <c r="B40" s="20"/>
    </row>
    <row r="41" customFormat="false" ht="15" hidden="false" customHeight="false" outlineLevel="0" collapsed="false">
      <c r="A41" s="20"/>
      <c r="B41" s="20"/>
    </row>
    <row r="42" customFormat="false" ht="15" hidden="false" customHeight="false" outlineLevel="0" collapsed="false">
      <c r="A42" s="20"/>
      <c r="B42" s="20"/>
    </row>
    <row r="43" customFormat="false" ht="15" hidden="false" customHeight="false" outlineLevel="0" collapsed="false">
      <c r="A43" s="20"/>
      <c r="B43" s="20"/>
    </row>
    <row r="44" customFormat="false" ht="15" hidden="false" customHeight="false" outlineLevel="0" collapsed="false">
      <c r="A44" s="20"/>
      <c r="B44" s="20"/>
    </row>
    <row r="45" customFormat="false" ht="15" hidden="false" customHeight="false" outlineLevel="0" collapsed="false">
      <c r="A45" s="20"/>
      <c r="B45" s="20"/>
    </row>
    <row r="46" customFormat="false" ht="15" hidden="false" customHeight="false" outlineLevel="0" collapsed="false">
      <c r="A46" s="20"/>
      <c r="B46" s="20"/>
    </row>
    <row r="47" customFormat="false" ht="15" hidden="false" customHeight="false" outlineLevel="0" collapsed="false">
      <c r="A47" s="20"/>
      <c r="B47" s="20"/>
    </row>
    <row r="48" customFormat="false" ht="15" hidden="false" customHeight="false" outlineLevel="0" collapsed="false">
      <c r="A48" s="20"/>
      <c r="B48" s="20"/>
    </row>
    <row r="49" customFormat="false" ht="15" hidden="false" customHeight="false" outlineLevel="0" collapsed="false">
      <c r="A49" s="20"/>
      <c r="B49" s="20"/>
    </row>
    <row r="50" customFormat="false" ht="15" hidden="false" customHeight="false" outlineLevel="0" collapsed="false">
      <c r="A50" s="20"/>
      <c r="B50" s="20"/>
    </row>
    <row r="51" customFormat="false" ht="15" hidden="false" customHeight="false" outlineLevel="0" collapsed="false">
      <c r="A51" s="20"/>
      <c r="B51" s="20"/>
    </row>
    <row r="52" customFormat="false" ht="15" hidden="false" customHeight="false" outlineLevel="0" collapsed="false">
      <c r="A52" s="20"/>
      <c r="B52" s="20"/>
    </row>
    <row r="53" customFormat="false" ht="15" hidden="false" customHeight="false" outlineLevel="0" collapsed="false">
      <c r="A53" s="20"/>
      <c r="B53" s="20"/>
    </row>
    <row r="54" customFormat="false" ht="15" hidden="false" customHeight="false" outlineLevel="0" collapsed="false">
      <c r="A54" s="20"/>
      <c r="B54" s="20"/>
    </row>
    <row r="55" customFormat="false" ht="15" hidden="false" customHeight="false" outlineLevel="0" collapsed="false">
      <c r="A55" s="20"/>
      <c r="B55" s="20"/>
    </row>
    <row r="56" customFormat="false" ht="15" hidden="false" customHeight="false" outlineLevel="0" collapsed="false">
      <c r="A56" s="20"/>
      <c r="B56" s="20"/>
    </row>
    <row r="57" customFormat="false" ht="15" hidden="false" customHeight="false" outlineLevel="0" collapsed="false">
      <c r="A57" s="20"/>
      <c r="B57" s="20"/>
    </row>
    <row r="58" customFormat="false" ht="15" hidden="false" customHeight="false" outlineLevel="0" collapsed="false">
      <c r="A58" s="20"/>
      <c r="B58" s="20"/>
    </row>
    <row r="59" customFormat="false" ht="15" hidden="false" customHeight="false" outlineLevel="0" collapsed="false">
      <c r="A59" s="20"/>
      <c r="B59" s="20"/>
    </row>
    <row r="60" customFormat="false" ht="15" hidden="false" customHeight="false" outlineLevel="0" collapsed="false">
      <c r="A60" s="20"/>
      <c r="B60" s="20"/>
    </row>
    <row r="61" customFormat="false" ht="15" hidden="false" customHeight="false" outlineLevel="0" collapsed="false">
      <c r="A61" s="20"/>
      <c r="B61" s="20"/>
    </row>
    <row r="62" customFormat="false" ht="15" hidden="false" customHeight="false" outlineLevel="0" collapsed="false">
      <c r="A62" s="20"/>
      <c r="B62" s="20"/>
    </row>
    <row r="63" customFormat="false" ht="15" hidden="false" customHeight="false" outlineLevel="0" collapsed="false">
      <c r="A63" s="20"/>
      <c r="B63" s="20"/>
    </row>
    <row r="64" customFormat="false" ht="15" hidden="false" customHeight="false" outlineLevel="0" collapsed="false">
      <c r="A64" s="20"/>
      <c r="B64" s="20"/>
    </row>
    <row r="65" customFormat="false" ht="15" hidden="false" customHeight="false" outlineLevel="0" collapsed="false">
      <c r="A65" s="20"/>
      <c r="B65" s="20"/>
    </row>
    <row r="66" customFormat="false" ht="15" hidden="false" customHeight="false" outlineLevel="0" collapsed="false">
      <c r="A66" s="20"/>
      <c r="B66" s="20"/>
    </row>
    <row r="67" customFormat="false" ht="15" hidden="false" customHeight="false" outlineLevel="0" collapsed="false">
      <c r="A67" s="20"/>
      <c r="B67" s="20"/>
    </row>
    <row r="68" customFormat="false" ht="15" hidden="false" customHeight="false" outlineLevel="0" collapsed="false">
      <c r="A68" s="20"/>
      <c r="B68" s="20"/>
    </row>
    <row r="69" customFormat="false" ht="15" hidden="false" customHeight="false" outlineLevel="0" collapsed="false">
      <c r="A69" s="20"/>
      <c r="B69" s="20"/>
    </row>
    <row r="70" customFormat="false" ht="15" hidden="false" customHeight="false" outlineLevel="0" collapsed="false">
      <c r="A70" s="20"/>
      <c r="B70" s="20"/>
    </row>
    <row r="71" customFormat="false" ht="15" hidden="false" customHeight="false" outlineLevel="0" collapsed="false">
      <c r="A71" s="20"/>
      <c r="B71" s="20"/>
    </row>
    <row r="72" customFormat="false" ht="15" hidden="false" customHeight="false" outlineLevel="0" collapsed="false">
      <c r="A72" s="20"/>
      <c r="B72" s="20"/>
    </row>
    <row r="73" customFormat="false" ht="15" hidden="false" customHeight="false" outlineLevel="0" collapsed="false">
      <c r="A73" s="20"/>
      <c r="B73" s="20"/>
    </row>
    <row r="74" customFormat="false" ht="15" hidden="false" customHeight="false" outlineLevel="0" collapsed="false">
      <c r="A74" s="20"/>
      <c r="B74" s="20"/>
    </row>
    <row r="75" customFormat="false" ht="15" hidden="false" customHeight="false" outlineLevel="0" collapsed="false">
      <c r="A75" s="20"/>
      <c r="B75" s="20"/>
    </row>
    <row r="76" customFormat="false" ht="15" hidden="false" customHeight="false" outlineLevel="0" collapsed="false">
      <c r="A76" s="20"/>
      <c r="B76" s="20"/>
    </row>
    <row r="77" customFormat="false" ht="15" hidden="false" customHeight="false" outlineLevel="0" collapsed="false">
      <c r="A77" s="20"/>
      <c r="B77" s="20"/>
    </row>
    <row r="78" customFormat="false" ht="15" hidden="false" customHeight="false" outlineLevel="0" collapsed="false">
      <c r="A78" s="20"/>
      <c r="B78" s="20"/>
    </row>
    <row r="79" customFormat="false" ht="15" hidden="false" customHeight="false" outlineLevel="0" collapsed="false">
      <c r="A79" s="20"/>
      <c r="B79" s="20"/>
    </row>
    <row r="80" customFormat="false" ht="15" hidden="false" customHeight="false" outlineLevel="0" collapsed="false">
      <c r="A80" s="20"/>
      <c r="B80" s="20"/>
    </row>
    <row r="81" customFormat="false" ht="15" hidden="false" customHeight="false" outlineLevel="0" collapsed="false">
      <c r="A81" s="20"/>
      <c r="B81" s="20"/>
    </row>
    <row r="82" customFormat="false" ht="15" hidden="false" customHeight="false" outlineLevel="0" collapsed="false">
      <c r="A82" s="20"/>
      <c r="B82" s="20"/>
    </row>
    <row r="83" customFormat="false" ht="15" hidden="false" customHeight="false" outlineLevel="0" collapsed="false">
      <c r="A83" s="20"/>
      <c r="B83" s="20"/>
    </row>
    <row r="84" customFormat="false" ht="15" hidden="false" customHeight="false" outlineLevel="0" collapsed="false">
      <c r="A84" s="20"/>
      <c r="B84" s="20"/>
    </row>
    <row r="85" customFormat="false" ht="15" hidden="false" customHeight="false" outlineLevel="0" collapsed="false">
      <c r="A85" s="20"/>
      <c r="B85" s="20"/>
    </row>
    <row r="86" customFormat="false" ht="15" hidden="false" customHeight="false" outlineLevel="0" collapsed="false">
      <c r="A86" s="20"/>
      <c r="B86" s="20"/>
    </row>
    <row r="87" customFormat="false" ht="15" hidden="false" customHeight="false" outlineLevel="0" collapsed="false">
      <c r="A87" s="20"/>
      <c r="B87" s="20"/>
    </row>
    <row r="88" customFormat="false" ht="15" hidden="false" customHeight="false" outlineLevel="0" collapsed="false">
      <c r="A88" s="20"/>
      <c r="B88" s="20"/>
    </row>
    <row r="89" customFormat="false" ht="15" hidden="false" customHeight="false" outlineLevel="0" collapsed="false">
      <c r="A89" s="20"/>
      <c r="B89" s="20"/>
    </row>
    <row r="90" customFormat="false" ht="15" hidden="false" customHeight="false" outlineLevel="0" collapsed="false">
      <c r="A90" s="20"/>
      <c r="B90" s="20"/>
    </row>
    <row r="91" customFormat="false" ht="15" hidden="false" customHeight="false" outlineLevel="0" collapsed="false">
      <c r="A91" s="20"/>
      <c r="B91" s="20"/>
    </row>
    <row r="92" customFormat="false" ht="15" hidden="false" customHeight="false" outlineLevel="0" collapsed="false">
      <c r="A92" s="20"/>
      <c r="B92" s="20"/>
    </row>
    <row r="93" customFormat="false" ht="15" hidden="false" customHeight="false" outlineLevel="0" collapsed="false">
      <c r="A93" s="20"/>
      <c r="B93" s="20"/>
    </row>
    <row r="94" customFormat="false" ht="15" hidden="false" customHeight="false" outlineLevel="0" collapsed="false">
      <c r="A94" s="20"/>
      <c r="B94" s="20"/>
    </row>
    <row r="95" customFormat="false" ht="15" hidden="false" customHeight="false" outlineLevel="0" collapsed="false">
      <c r="A95" s="20"/>
      <c r="B95" s="20"/>
    </row>
    <row r="96" customFormat="false" ht="15" hidden="false" customHeight="false" outlineLevel="0" collapsed="false">
      <c r="A96" s="20"/>
      <c r="B96" s="20"/>
    </row>
    <row r="97" customFormat="false" ht="15" hidden="false" customHeight="false" outlineLevel="0" collapsed="false">
      <c r="A97" s="20"/>
      <c r="B97" s="20"/>
    </row>
    <row r="98" customFormat="false" ht="15" hidden="false" customHeight="false" outlineLevel="0" collapsed="false">
      <c r="A98" s="20"/>
      <c r="B98" s="20"/>
    </row>
    <row r="99" customFormat="false" ht="15" hidden="false" customHeight="false" outlineLevel="0" collapsed="false">
      <c r="A99" s="20"/>
      <c r="B99" s="20"/>
    </row>
  </sheetData>
  <mergeCells count="9">
    <mergeCell ref="A1:H1"/>
    <mergeCell ref="A2:H2"/>
    <mergeCell ref="A4:G4"/>
    <mergeCell ref="A6:B6"/>
    <mergeCell ref="A7:B7"/>
    <mergeCell ref="A8:B8"/>
    <mergeCell ref="A9:B9"/>
    <mergeCell ref="E16:F16"/>
    <mergeCell ref="D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8"/>
    <col collapsed="false" customWidth="true" hidden="false" outlineLevel="0" max="5" min="5" style="0" width="6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6"/>
    <col collapsed="false" customWidth="true" hidden="false" outlineLevel="0" max="10" min="10" style="0" width="30"/>
    <col collapsed="false" customWidth="true" hidden="false" outlineLevel="0" max="11" min="11" style="0" width="16"/>
    <col collapsed="false" customWidth="true" hidden="false" outlineLevel="0" max="12" min="12" style="0" width="40"/>
  </cols>
  <sheetData>
    <row r="1" customFormat="false" ht="30" hidden="false" customHeight="true" outlineLevel="0" collapsed="false">
      <c r="A1" s="1" t="s">
        <v>239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240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3" t="s">
        <v>241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15" hidden="false" customHeight="false" outlineLevel="0" collapsed="false">
      <c r="A6" s="29" t="s">
        <v>242</v>
      </c>
      <c r="F6" s="38" t="s">
        <v>243</v>
      </c>
      <c r="G6" s="38"/>
      <c r="H6" s="38"/>
      <c r="J6" s="29" t="s">
        <v>244</v>
      </c>
    </row>
    <row r="7" customFormat="false" ht="27.75" hidden="false" customHeight="true" outlineLevel="0" collapsed="false">
      <c r="A7" s="39" t="s">
        <v>245</v>
      </c>
      <c r="B7" s="39" t="s">
        <v>246</v>
      </c>
      <c r="C7" s="39" t="s">
        <v>247</v>
      </c>
      <c r="D7" s="39" t="s">
        <v>248</v>
      </c>
      <c r="F7" s="39" t="s">
        <v>249</v>
      </c>
      <c r="G7" s="39" t="s">
        <v>250</v>
      </c>
      <c r="H7" s="39" t="s">
        <v>251</v>
      </c>
      <c r="J7" s="5" t="s">
        <v>252</v>
      </c>
      <c r="K7" s="26" t="n">
        <f aca="false">B28</f>
        <v>1</v>
      </c>
      <c r="L7" s="9" t="s">
        <v>253</v>
      </c>
    </row>
    <row r="8" customFormat="false" ht="15" hidden="false" customHeight="false" outlineLevel="0" collapsed="false">
      <c r="A8" s="20" t="n">
        <v>0</v>
      </c>
      <c r="B8" s="40" t="n">
        <v>0.1</v>
      </c>
      <c r="C8" s="41" t="n">
        <f aca="false">IF(OR($A8="",$B8=""),"",$A8*$B8)</f>
        <v>0</v>
      </c>
      <c r="D8" s="41" t="n">
        <f aca="false">IF(OR($A8="",$B8=""),"",$B8*($A8-$K$8)^2)</f>
        <v>0.324</v>
      </c>
      <c r="F8" s="20" t="n">
        <v>0</v>
      </c>
      <c r="G8" s="41" t="n">
        <f aca="false">IF(OR($F8="",$B8=""),"",$F8*$B8)</f>
        <v>0</v>
      </c>
      <c r="H8" s="41" t="n">
        <f aca="false">IF(OR($F8="",$B8=""),"",$B8*($F8-$K$14)^2)</f>
        <v>202.5</v>
      </c>
      <c r="J8" s="5" t="s">
        <v>254</v>
      </c>
      <c r="K8" s="21" t="n">
        <f aca="false">SUMPRODUCT(A8:A27,B8:B27)</f>
        <v>1.8</v>
      </c>
      <c r="L8" s="9" t="s">
        <v>255</v>
      </c>
    </row>
    <row r="9" customFormat="false" ht="15" hidden="false" customHeight="false" outlineLevel="0" collapsed="false">
      <c r="A9" s="20" t="n">
        <v>1</v>
      </c>
      <c r="B9" s="40" t="n">
        <v>0.3</v>
      </c>
      <c r="C9" s="41" t="n">
        <f aca="false">IF(OR($A9="",$B9=""),"",$A9*$B9)</f>
        <v>0.3</v>
      </c>
      <c r="D9" s="41" t="n">
        <f aca="false">IF(OR($A9="",$B9=""),"",$B9*($A9-$K$8)^2)</f>
        <v>0.192</v>
      </c>
      <c r="F9" s="20" t="n">
        <v>15</v>
      </c>
      <c r="G9" s="41" t="n">
        <f aca="false">IF(OR($F9="",$B9=""),"",$F9*$B9)</f>
        <v>4.5</v>
      </c>
      <c r="H9" s="41" t="n">
        <f aca="false">IF(OR($F9="",$B9=""),"",$B9*($F9-$K$14)^2)</f>
        <v>270</v>
      </c>
      <c r="J9" s="5" t="s">
        <v>256</v>
      </c>
      <c r="K9" s="21" t="n">
        <f aca="false">D28</f>
        <v>0.96</v>
      </c>
      <c r="L9" s="9" t="s">
        <v>257</v>
      </c>
    </row>
    <row r="10" customFormat="false" ht="15" hidden="false" customHeight="false" outlineLevel="0" collapsed="false">
      <c r="A10" s="20" t="n">
        <v>2</v>
      </c>
      <c r="B10" s="40" t="n">
        <v>0.3</v>
      </c>
      <c r="C10" s="41" t="n">
        <f aca="false">IF(OR($A10="",$B10=""),"",$A10*$B10)</f>
        <v>0.6</v>
      </c>
      <c r="D10" s="41" t="n">
        <f aca="false">IF(OR($A10="",$B10=""),"",$B10*($A10-$K$8)^2)</f>
        <v>0.012</v>
      </c>
      <c r="F10" s="20" t="n">
        <v>52.5</v>
      </c>
      <c r="G10" s="41" t="n">
        <f aca="false">IF(OR($F10="",$B10=""),"",$F10*$B10)</f>
        <v>15.75</v>
      </c>
      <c r="H10" s="41" t="n">
        <f aca="false">IF(OR($F10="",$B10=""),"",$B10*($F10-$K$14)^2)</f>
        <v>16.875</v>
      </c>
      <c r="J10" s="5" t="s">
        <v>258</v>
      </c>
      <c r="K10" s="21" t="n">
        <f aca="false">IFERROR(SQRT(K9),"")</f>
        <v>0.979795897113271</v>
      </c>
      <c r="L10" s="9" t="s">
        <v>259</v>
      </c>
    </row>
    <row r="11" customFormat="false" ht="15" hidden="false" customHeight="false" outlineLevel="0" collapsed="false">
      <c r="A11" s="20" t="n">
        <v>3</v>
      </c>
      <c r="B11" s="40" t="n">
        <v>0.3</v>
      </c>
      <c r="C11" s="41" t="n">
        <f aca="false">IF(OR($A11="",$B11=""),"",$A11*$B11)</f>
        <v>0.9</v>
      </c>
      <c r="D11" s="41" t="n">
        <f aca="false">IF(OR($A11="",$B11=""),"",$B11*($A11-$K$8)^2)</f>
        <v>0.432</v>
      </c>
      <c r="F11" s="20" t="n">
        <v>82.5</v>
      </c>
      <c r="G11" s="41" t="n">
        <f aca="false">IF(OR($F11="",$B11=""),"",$F11*$B11)</f>
        <v>24.75</v>
      </c>
      <c r="H11" s="41" t="n">
        <f aca="false">IF(OR($F11="",$B11=""),"",$B11*($F11-$K$14)^2)</f>
        <v>421.875</v>
      </c>
      <c r="J11" s="42" t="str">
        <f aca="false">IF(ABS(K7-1)&lt;0.0000001,"OK - probabilities sum to 1","WARNING: probabilities sum to "&amp;TEXT(K7,"0.000000")&amp;", not 1")</f>
        <v>OK - probabilities sum to 1</v>
      </c>
      <c r="K11" s="42"/>
      <c r="L11" s="42"/>
    </row>
    <row r="12" customFormat="false" ht="15" hidden="false" customHeight="false" outlineLevel="0" collapsed="false">
      <c r="A12" s="20"/>
      <c r="B12" s="40"/>
      <c r="C12" s="41" t="str">
        <f aca="false">IF(OR($A12="",$B12=""),"",$A12*$B12)</f>
        <v/>
      </c>
      <c r="D12" s="41" t="str">
        <f aca="false">IF(OR($A12="",$B12=""),"",$B12*($A12-$K$8)^2)</f>
        <v/>
      </c>
      <c r="F12" s="20"/>
      <c r="G12" s="41" t="str">
        <f aca="false">IF(OR($F12="",$B12=""),"",$F12*$B12)</f>
        <v/>
      </c>
      <c r="H12" s="41" t="str">
        <f aca="false">IF(OR($F12="",$B12=""),"",$B12*($F12-$K$14)^2)</f>
        <v/>
      </c>
    </row>
    <row r="13" customFormat="false" ht="15" hidden="false" customHeight="false" outlineLevel="0" collapsed="false">
      <c r="A13" s="20"/>
      <c r="B13" s="40"/>
      <c r="C13" s="41" t="str">
        <f aca="false">IF(OR($A13="",$B13=""),"",$A13*$B13)</f>
        <v/>
      </c>
      <c r="D13" s="41" t="str">
        <f aca="false">IF(OR($A13="",$B13=""),"",$B13*($A13-$K$8)^2)</f>
        <v/>
      </c>
      <c r="F13" s="20"/>
      <c r="G13" s="41" t="str">
        <f aca="false">IF(OR($F13="",$B13=""),"",$F13*$B13)</f>
        <v/>
      </c>
      <c r="H13" s="41" t="str">
        <f aca="false">IF(OR($F13="",$B13=""),"",$B13*($F13-$K$14)^2)</f>
        <v/>
      </c>
      <c r="J13" s="27" t="s">
        <v>260</v>
      </c>
      <c r="L13" s="9"/>
    </row>
    <row r="14" customFormat="false" ht="15" hidden="false" customHeight="false" outlineLevel="0" collapsed="false">
      <c r="A14" s="20"/>
      <c r="B14" s="40"/>
      <c r="C14" s="41" t="str">
        <f aca="false">IF(OR($A14="",$B14=""),"",$A14*$B14)</f>
        <v/>
      </c>
      <c r="D14" s="41" t="str">
        <f aca="false">IF(OR($A14="",$B14=""),"",$B14*($A14-$K$8)^2)</f>
        <v/>
      </c>
      <c r="F14" s="20"/>
      <c r="G14" s="41" t="str">
        <f aca="false">IF(OR($F14="",$B14=""),"",$F14*$B14)</f>
        <v/>
      </c>
      <c r="H14" s="41" t="str">
        <f aca="false">IF(OR($F14="",$B14=""),"",$B14*($F14-$K$14)^2)</f>
        <v/>
      </c>
      <c r="J14" s="5" t="s">
        <v>261</v>
      </c>
      <c r="K14" s="21" t="n">
        <f aca="false">SUMPRODUCT(F8:F27,B8:B27)</f>
        <v>45</v>
      </c>
      <c r="L14" s="9"/>
    </row>
    <row r="15" customFormat="false" ht="15" hidden="false" customHeight="false" outlineLevel="0" collapsed="false">
      <c r="A15" s="20"/>
      <c r="B15" s="40"/>
      <c r="C15" s="41" t="str">
        <f aca="false">IF(OR($A15="",$B15=""),"",$A15*$B15)</f>
        <v/>
      </c>
      <c r="D15" s="41" t="str">
        <f aca="false">IF(OR($A15="",$B15=""),"",$B15*($A15-$K$8)^2)</f>
        <v/>
      </c>
      <c r="F15" s="20"/>
      <c r="G15" s="41" t="str">
        <f aca="false">IF(OR($F15="",$B15=""),"",$F15*$B15)</f>
        <v/>
      </c>
      <c r="H15" s="41" t="str">
        <f aca="false">IF(OR($F15="",$B15=""),"",$B15*($F15-$K$14)^2)</f>
        <v/>
      </c>
      <c r="J15" s="5" t="s">
        <v>262</v>
      </c>
      <c r="K15" s="21" t="n">
        <f aca="false">H28</f>
        <v>911.25</v>
      </c>
      <c r="L15" s="9"/>
    </row>
    <row r="16" customFormat="false" ht="15" hidden="false" customHeight="false" outlineLevel="0" collapsed="false">
      <c r="A16" s="20"/>
      <c r="B16" s="40"/>
      <c r="C16" s="41" t="str">
        <f aca="false">IF(OR($A16="",$B16=""),"",$A16*$B16)</f>
        <v/>
      </c>
      <c r="D16" s="41" t="str">
        <f aca="false">IF(OR($A16="",$B16=""),"",$B16*($A16-$K$8)^2)</f>
        <v/>
      </c>
      <c r="F16" s="20"/>
      <c r="G16" s="41" t="str">
        <f aca="false">IF(OR($F16="",$B16=""),"",$F16*$B16)</f>
        <v/>
      </c>
      <c r="H16" s="41" t="str">
        <f aca="false">IF(OR($F16="",$B16=""),"",$B16*($F16-$K$14)^2)</f>
        <v/>
      </c>
      <c r="J16" s="5" t="s">
        <v>263</v>
      </c>
      <c r="K16" s="21" t="n">
        <f aca="false">IFERROR(SQRT(K15),"")</f>
        <v>30.1869176962472</v>
      </c>
      <c r="L16" s="9"/>
    </row>
    <row r="17" customFormat="false" ht="15" hidden="false" customHeight="false" outlineLevel="0" collapsed="false">
      <c r="A17" s="20"/>
      <c r="B17" s="40"/>
      <c r="C17" s="41" t="str">
        <f aca="false">IF(OR($A17="",$B17=""),"",$A17*$B17)</f>
        <v/>
      </c>
      <c r="D17" s="41" t="str">
        <f aca="false">IF(OR($A17="",$B17=""),"",$B17*($A17-$K$8)^2)</f>
        <v/>
      </c>
      <c r="F17" s="20"/>
      <c r="G17" s="41" t="str">
        <f aca="false">IF(OR($F17="",$B17=""),"",$F17*$B17)</f>
        <v/>
      </c>
      <c r="H17" s="41" t="str">
        <f aca="false">IF(OR($F17="",$B17=""),"",$B17*($F17-$K$14)^2)</f>
        <v/>
      </c>
    </row>
    <row r="18" customFormat="false" ht="15" hidden="false" customHeight="false" outlineLevel="0" collapsed="false">
      <c r="A18" s="20"/>
      <c r="B18" s="40"/>
      <c r="C18" s="41" t="str">
        <f aca="false">IF(OR($A18="",$B18=""),"",$A18*$B18)</f>
        <v/>
      </c>
      <c r="D18" s="41" t="str">
        <f aca="false">IF(OR($A18="",$B18=""),"",$B18*($A18-$K$8)^2)</f>
        <v/>
      </c>
      <c r="F18" s="20"/>
      <c r="G18" s="41" t="str">
        <f aca="false">IF(OR($F18="",$B18=""),"",$F18*$B18)</f>
        <v/>
      </c>
      <c r="H18" s="41" t="str">
        <f aca="false">IF(OR($F18="",$B18=""),"",$B18*($F18-$K$14)^2)</f>
        <v/>
      </c>
    </row>
    <row r="19" customFormat="false" ht="15" hidden="false" customHeight="false" outlineLevel="0" collapsed="false">
      <c r="A19" s="20"/>
      <c r="B19" s="40"/>
      <c r="C19" s="41" t="str">
        <f aca="false">IF(OR($A19="",$B19=""),"",$A19*$B19)</f>
        <v/>
      </c>
      <c r="D19" s="41" t="str">
        <f aca="false">IF(OR($A19="",$B19=""),"",$B19*($A19-$K$8)^2)</f>
        <v/>
      </c>
      <c r="F19" s="20"/>
      <c r="G19" s="41" t="str">
        <f aca="false">IF(OR($F19="",$B19=""),"",$F19*$B19)</f>
        <v/>
      </c>
      <c r="H19" s="41" t="str">
        <f aca="false">IF(OR($F19="",$B19=""),"",$B19*($F19-$K$14)^2)</f>
        <v/>
      </c>
    </row>
    <row r="20" customFormat="false" ht="15" hidden="false" customHeight="false" outlineLevel="0" collapsed="false">
      <c r="A20" s="20"/>
      <c r="B20" s="40"/>
      <c r="C20" s="41" t="str">
        <f aca="false">IF(OR($A20="",$B20=""),"",$A20*$B20)</f>
        <v/>
      </c>
      <c r="D20" s="41" t="str">
        <f aca="false">IF(OR($A20="",$B20=""),"",$B20*($A20-$K$8)^2)</f>
        <v/>
      </c>
      <c r="F20" s="20"/>
      <c r="G20" s="41" t="str">
        <f aca="false">IF(OR($F20="",$B20=""),"",$F20*$B20)</f>
        <v/>
      </c>
      <c r="H20" s="41" t="str">
        <f aca="false">IF(OR($F20="",$B20=""),"",$B20*($F20-$K$14)^2)</f>
        <v/>
      </c>
    </row>
    <row r="21" customFormat="false" ht="15" hidden="false" customHeight="false" outlineLevel="0" collapsed="false">
      <c r="A21" s="20"/>
      <c r="B21" s="40"/>
      <c r="C21" s="41" t="str">
        <f aca="false">IF(OR($A21="",$B21=""),"",$A21*$B21)</f>
        <v/>
      </c>
      <c r="D21" s="41" t="str">
        <f aca="false">IF(OR($A21="",$B21=""),"",$B21*($A21-$K$8)^2)</f>
        <v/>
      </c>
      <c r="F21" s="20"/>
      <c r="G21" s="41" t="str">
        <f aca="false">IF(OR($F21="",$B21=""),"",$F21*$B21)</f>
        <v/>
      </c>
      <c r="H21" s="41" t="str">
        <f aca="false">IF(OR($F21="",$B21=""),"",$B21*($F21-$K$14)^2)</f>
        <v/>
      </c>
    </row>
    <row r="22" customFormat="false" ht="15" hidden="false" customHeight="false" outlineLevel="0" collapsed="false">
      <c r="A22" s="20"/>
      <c r="B22" s="40"/>
      <c r="C22" s="41" t="str">
        <f aca="false">IF(OR($A22="",$B22=""),"",$A22*$B22)</f>
        <v/>
      </c>
      <c r="D22" s="41" t="str">
        <f aca="false">IF(OR($A22="",$B22=""),"",$B22*($A22-$K$8)^2)</f>
        <v/>
      </c>
      <c r="F22" s="20"/>
      <c r="G22" s="41" t="str">
        <f aca="false">IF(OR($F22="",$B22=""),"",$F22*$B22)</f>
        <v/>
      </c>
      <c r="H22" s="41" t="str">
        <f aca="false">IF(OR($F22="",$B22=""),"",$B22*($F22-$K$14)^2)</f>
        <v/>
      </c>
    </row>
    <row r="23" customFormat="false" ht="15" hidden="false" customHeight="false" outlineLevel="0" collapsed="false">
      <c r="A23" s="20"/>
      <c r="B23" s="40"/>
      <c r="C23" s="41" t="str">
        <f aca="false">IF(OR($A23="",$B23=""),"",$A23*$B23)</f>
        <v/>
      </c>
      <c r="D23" s="41" t="str">
        <f aca="false">IF(OR($A23="",$B23=""),"",$B23*($A23-$K$8)^2)</f>
        <v/>
      </c>
      <c r="F23" s="20"/>
      <c r="G23" s="41" t="str">
        <f aca="false">IF(OR($F23="",$B23=""),"",$F23*$B23)</f>
        <v/>
      </c>
      <c r="H23" s="41" t="str">
        <f aca="false">IF(OR($F23="",$B23=""),"",$B23*($F23-$K$14)^2)</f>
        <v/>
      </c>
    </row>
    <row r="24" customFormat="false" ht="15" hidden="false" customHeight="false" outlineLevel="0" collapsed="false">
      <c r="A24" s="20"/>
      <c r="B24" s="40"/>
      <c r="C24" s="41" t="str">
        <f aca="false">IF(OR($A24="",$B24=""),"",$A24*$B24)</f>
        <v/>
      </c>
      <c r="D24" s="41" t="str">
        <f aca="false">IF(OR($A24="",$B24=""),"",$B24*($A24-$K$8)^2)</f>
        <v/>
      </c>
      <c r="F24" s="20"/>
      <c r="G24" s="41" t="str">
        <f aca="false">IF(OR($F24="",$B24=""),"",$F24*$B24)</f>
        <v/>
      </c>
      <c r="H24" s="41" t="str">
        <f aca="false">IF(OR($F24="",$B24=""),"",$B24*($F24-$K$14)^2)</f>
        <v/>
      </c>
    </row>
    <row r="25" customFormat="false" ht="15" hidden="false" customHeight="false" outlineLevel="0" collapsed="false">
      <c r="A25" s="20"/>
      <c r="B25" s="40"/>
      <c r="C25" s="41" t="str">
        <f aca="false">IF(OR($A25="",$B25=""),"",$A25*$B25)</f>
        <v/>
      </c>
      <c r="D25" s="41" t="str">
        <f aca="false">IF(OR($A25="",$B25=""),"",$B25*($A25-$K$8)^2)</f>
        <v/>
      </c>
      <c r="F25" s="20"/>
      <c r="G25" s="41" t="str">
        <f aca="false">IF(OR($F25="",$B25=""),"",$F25*$B25)</f>
        <v/>
      </c>
      <c r="H25" s="41" t="str">
        <f aca="false">IF(OR($F25="",$B25=""),"",$B25*($F25-$K$14)^2)</f>
        <v/>
      </c>
    </row>
    <row r="26" customFormat="false" ht="15" hidden="false" customHeight="false" outlineLevel="0" collapsed="false">
      <c r="A26" s="20"/>
      <c r="B26" s="40"/>
      <c r="C26" s="41" t="str">
        <f aca="false">IF(OR($A26="",$B26=""),"",$A26*$B26)</f>
        <v/>
      </c>
      <c r="D26" s="41" t="str">
        <f aca="false">IF(OR($A26="",$B26=""),"",$B26*($A26-$K$8)^2)</f>
        <v/>
      </c>
      <c r="F26" s="20"/>
      <c r="G26" s="41" t="str">
        <f aca="false">IF(OR($F26="",$B26=""),"",$F26*$B26)</f>
        <v/>
      </c>
      <c r="H26" s="41" t="str">
        <f aca="false">IF(OR($F26="",$B26=""),"",$B26*($F26-$K$14)^2)</f>
        <v/>
      </c>
    </row>
    <row r="27" customFormat="false" ht="15" hidden="false" customHeight="false" outlineLevel="0" collapsed="false">
      <c r="A27" s="20"/>
      <c r="B27" s="40"/>
      <c r="C27" s="41" t="str">
        <f aca="false">IF(OR($A27="",$B27=""),"",$A27*$B27)</f>
        <v/>
      </c>
      <c r="D27" s="41" t="str">
        <f aca="false">IF(OR($A27="",$B27=""),"",$B27*($A27-$K$8)^2)</f>
        <v/>
      </c>
      <c r="F27" s="20"/>
      <c r="G27" s="41" t="str">
        <f aca="false">IF(OR($F27="",$B27=""),"",$F27*$B27)</f>
        <v/>
      </c>
      <c r="H27" s="41" t="str">
        <f aca="false">IF(OR($F27="",$B27=""),"",$B27*($F27-$K$14)^2)</f>
        <v/>
      </c>
    </row>
    <row r="28" customFormat="false" ht="15" hidden="false" customHeight="false" outlineLevel="0" collapsed="false">
      <c r="A28" s="27" t="s">
        <v>264</v>
      </c>
      <c r="B28" s="26" t="n">
        <f aca="false">SUM(B8:B27)</f>
        <v>1</v>
      </c>
      <c r="C28" s="26" t="n">
        <f aca="false">SUM(C8:C27)</f>
        <v>1.8</v>
      </c>
      <c r="D28" s="26" t="n">
        <f aca="false">SUM(D8:D27)</f>
        <v>0.96</v>
      </c>
      <c r="G28" s="26" t="n">
        <f aca="false">SUM(G8:G27)</f>
        <v>45</v>
      </c>
      <c r="H28" s="26" t="n">
        <f aca="false">SUM(H8:H27)</f>
        <v>911.25</v>
      </c>
    </row>
    <row r="30" customFormat="false" ht="19.5" hidden="false" customHeight="true" outlineLevel="0" collapsed="false">
      <c r="A30" s="3" t="s">
        <v>265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5" hidden="false" customHeight="false" outlineLevel="0" collapsed="false">
      <c r="A31" s="9" t="s">
        <v>266</v>
      </c>
    </row>
    <row r="32" customFormat="false" ht="15" hidden="false" customHeight="false" outlineLevel="0" collapsed="false">
      <c r="A32" s="5" t="s">
        <v>267</v>
      </c>
      <c r="B32" s="20" t="n">
        <v>-50</v>
      </c>
      <c r="C32" s="9" t="s">
        <v>268</v>
      </c>
    </row>
    <row r="33" customFormat="false" ht="15" hidden="false" customHeight="false" outlineLevel="0" collapsed="false">
      <c r="A33" s="5" t="s">
        <v>269</v>
      </c>
      <c r="B33" s="20" t="n">
        <v>200</v>
      </c>
      <c r="C33" s="9" t="s">
        <v>270</v>
      </c>
    </row>
    <row r="34" customFormat="false" ht="15" hidden="false" customHeight="false" outlineLevel="0" collapsed="false">
      <c r="A34" s="5" t="s">
        <v>271</v>
      </c>
      <c r="B34" s="21" t="n">
        <f aca="false">IFERROR(B32+B33*K8,"")</f>
        <v>310</v>
      </c>
      <c r="C34" s="9" t="s">
        <v>272</v>
      </c>
    </row>
    <row r="35" customFormat="false" ht="15" hidden="false" customHeight="false" outlineLevel="0" collapsed="false">
      <c r="A35" s="5" t="s">
        <v>273</v>
      </c>
      <c r="B35" s="21" t="n">
        <f aca="false">IFERROR(B33^2*K9,"")</f>
        <v>38400</v>
      </c>
      <c r="C35" s="9" t="s">
        <v>274</v>
      </c>
    </row>
    <row r="36" customFormat="false" ht="15" hidden="false" customHeight="false" outlineLevel="0" collapsed="false">
      <c r="A36" s="5" t="s">
        <v>275</v>
      </c>
      <c r="B36" s="21" t="n">
        <f aca="false">IFERROR(ABS(B33)*K10,"")</f>
        <v>195.959179422654</v>
      </c>
      <c r="C36" s="9" t="s">
        <v>276</v>
      </c>
    </row>
    <row r="37" customFormat="false" ht="15" hidden="false" customHeight="false" outlineLevel="0" collapsed="false">
      <c r="A37" s="9" t="s">
        <v>277</v>
      </c>
    </row>
    <row r="38" customFormat="false" ht="15" hidden="false" customHeight="false" outlineLevel="0" collapsed="false">
      <c r="A38" s="9" t="s">
        <v>278</v>
      </c>
    </row>
  </sheetData>
  <mergeCells count="6">
    <mergeCell ref="A1:L1"/>
    <mergeCell ref="A2:L2"/>
    <mergeCell ref="A4:L4"/>
    <mergeCell ref="F6:H6"/>
    <mergeCell ref="J11:L11"/>
    <mergeCell ref="A30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8" min="6" style="0" width="12"/>
    <col collapsed="false" customWidth="true" hidden="false" outlineLevel="0" max="10" min="9" style="0" width="14"/>
    <col collapsed="false" customWidth="true" hidden="false" outlineLevel="0" max="12" min="11" style="0" width="16"/>
  </cols>
  <sheetData>
    <row r="1" customFormat="false" ht="30" hidden="false" customHeight="true" outlineLevel="0" collapsed="false">
      <c r="A1" s="1" t="s">
        <v>279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280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3" t="s">
        <v>281</v>
      </c>
      <c r="B4" s="3"/>
      <c r="C4" s="3"/>
      <c r="E4" s="43" t="s">
        <v>282</v>
      </c>
      <c r="F4" s="43"/>
      <c r="G4" s="43"/>
      <c r="H4" s="43"/>
      <c r="I4" s="43"/>
      <c r="J4" s="43"/>
      <c r="K4" s="43"/>
      <c r="L4" s="43"/>
    </row>
    <row r="5" customFormat="false" ht="15" hidden="false" customHeight="false" outlineLevel="0" collapsed="false">
      <c r="A5" s="5" t="s">
        <v>283</v>
      </c>
      <c r="B5" s="40" t="n">
        <v>0.0002</v>
      </c>
      <c r="C5" s="9" t="s">
        <v>284</v>
      </c>
      <c r="E5" s="44" t="s">
        <v>285</v>
      </c>
      <c r="F5" s="44"/>
      <c r="G5" s="44"/>
      <c r="H5" s="44"/>
      <c r="I5" s="44"/>
      <c r="J5" s="44"/>
      <c r="K5" s="44"/>
      <c r="L5" s="44"/>
    </row>
    <row r="6" customFormat="false" ht="25.5" hidden="false" customHeight="true" outlineLevel="0" collapsed="false">
      <c r="A6" s="5" t="s">
        <v>286</v>
      </c>
      <c r="B6" s="45" t="n">
        <v>25</v>
      </c>
      <c r="C6" s="9" t="s">
        <v>287</v>
      </c>
      <c r="E6" s="39" t="s">
        <v>288</v>
      </c>
      <c r="F6" s="39" t="s">
        <v>289</v>
      </c>
      <c r="G6" s="39" t="s">
        <v>290</v>
      </c>
      <c r="H6" s="39" t="s">
        <v>291</v>
      </c>
      <c r="I6" s="39" t="s">
        <v>292</v>
      </c>
      <c r="J6" s="39" t="s">
        <v>293</v>
      </c>
      <c r="K6" s="39" t="s">
        <v>294</v>
      </c>
      <c r="L6" s="39" t="s">
        <v>295</v>
      </c>
    </row>
    <row r="7" customFormat="false" ht="15" hidden="false" customHeight="false" outlineLevel="0" collapsed="false">
      <c r="A7" s="5" t="s">
        <v>296</v>
      </c>
      <c r="B7" s="21" t="n">
        <f aca="false">IFERROR((1-B5)^B6,"")</f>
        <v>0.995011981620224</v>
      </c>
      <c r="C7" s="9" t="s">
        <v>297</v>
      </c>
      <c r="E7" s="46" t="s">
        <v>298</v>
      </c>
      <c r="F7" s="40" t="n">
        <v>0.6</v>
      </c>
      <c r="G7" s="40" t="n">
        <v>0.6</v>
      </c>
      <c r="H7" s="40"/>
      <c r="I7" s="26" t="n">
        <f aca="false">IF(COUNT(F7:H7)=0,"",PRODUCT(F7:H7))</f>
        <v>0.36</v>
      </c>
      <c r="J7" s="40" t="n">
        <v>1.21</v>
      </c>
      <c r="K7" s="41" t="n">
        <f aca="false">IF(OR(I7="",J7=""),"",I7*J7)</f>
        <v>0.4356</v>
      </c>
      <c r="L7" s="41" t="n">
        <f aca="false">IF(OR(I7="",J7=""),"",I7*(J7-$K$24)^2)</f>
        <v>0.0103550976</v>
      </c>
    </row>
    <row r="8" customFormat="false" ht="15" hidden="false" customHeight="false" outlineLevel="0" collapsed="false">
      <c r="A8" s="5" t="s">
        <v>299</v>
      </c>
      <c r="B8" s="21" t="n">
        <f aca="false">IFERROR(1-(1-B5)^B6,"")</f>
        <v>0.00498801837977647</v>
      </c>
      <c r="C8" s="9" t="s">
        <v>300</v>
      </c>
      <c r="E8" s="46" t="s">
        <v>301</v>
      </c>
      <c r="F8" s="40" t="n">
        <v>0.6</v>
      </c>
      <c r="G8" s="40" t="n">
        <v>0.4</v>
      </c>
      <c r="H8" s="40"/>
      <c r="I8" s="26" t="n">
        <f aca="false">IF(COUNT(F8:H8)=0,"",PRODUCT(F8:H8))</f>
        <v>0.24</v>
      </c>
      <c r="J8" s="40" t="n">
        <v>0.99</v>
      </c>
      <c r="K8" s="41" t="n">
        <f aca="false">IF(OR(I8="",J8=""),"",I8*J8)</f>
        <v>0.2376</v>
      </c>
      <c r="L8" s="41" t="n">
        <f aca="false">IF(OR(I8="",J8=""),"",I8*(J8-$K$24)^2)</f>
        <v>0.0006096384</v>
      </c>
    </row>
    <row r="9" customFormat="false" ht="15" hidden="false" customHeight="false" outlineLevel="0" collapsed="false">
      <c r="A9" s="5" t="s">
        <v>302</v>
      </c>
      <c r="B9" s="26" t="n">
        <f aca="false">IFERROR(B5^B6,"")</f>
        <v>3.3554432E-093</v>
      </c>
      <c r="C9" s="9" t="s">
        <v>303</v>
      </c>
      <c r="E9" s="46" t="s">
        <v>304</v>
      </c>
      <c r="F9" s="40" t="n">
        <v>0.4</v>
      </c>
      <c r="G9" s="40" t="n">
        <v>0.6</v>
      </c>
      <c r="H9" s="40"/>
      <c r="I9" s="26" t="n">
        <f aca="false">IF(COUNT(F9:H9)=0,"",PRODUCT(F9:H9))</f>
        <v>0.24</v>
      </c>
      <c r="J9" s="40" t="n">
        <v>0.99</v>
      </c>
      <c r="K9" s="41" t="n">
        <f aca="false">IF(OR(I9="",J9=""),"",I9*J9)</f>
        <v>0.2376</v>
      </c>
      <c r="L9" s="41" t="n">
        <f aca="false">IF(OR(I9="",J9=""),"",I9*(J9-$K$24)^2)</f>
        <v>0.0006096384</v>
      </c>
    </row>
    <row r="10" customFormat="false" ht="15" hidden="false" customHeight="false" outlineLevel="0" collapsed="false">
      <c r="A10" s="5" t="s">
        <v>305</v>
      </c>
      <c r="B10" s="45" t="n">
        <v>1</v>
      </c>
      <c r="E10" s="46" t="s">
        <v>306</v>
      </c>
      <c r="F10" s="40" t="n">
        <v>0.4</v>
      </c>
      <c r="G10" s="40" t="n">
        <v>0.4</v>
      </c>
      <c r="H10" s="40"/>
      <c r="I10" s="26" t="n">
        <f aca="false">IF(COUNT(F10:H10)=0,"",PRODUCT(F10:H10))</f>
        <v>0.16</v>
      </c>
      <c r="J10" s="40" t="n">
        <v>0.81</v>
      </c>
      <c r="K10" s="41" t="n">
        <f aca="false">IF(OR(I10="",J10=""),"",I10*J10)</f>
        <v>0.1296</v>
      </c>
      <c r="L10" s="41" t="n">
        <f aca="false">IF(OR(I10="",J10=""),"",I10*(J10-$K$24)^2)</f>
        <v>0.0084934656</v>
      </c>
    </row>
    <row r="11" customFormat="false" ht="15" hidden="false" customHeight="false" outlineLevel="0" collapsed="false">
      <c r="A11" s="5" t="s">
        <v>307</v>
      </c>
      <c r="B11" s="26" t="n">
        <f aca="false">IFERROR(BINOMDIST(B10,B6,B5,FALSE()),"")</f>
        <v>0.00497605511912494</v>
      </c>
      <c r="C11" s="9" t="s">
        <v>308</v>
      </c>
      <c r="E11" s="46"/>
      <c r="F11" s="40"/>
      <c r="G11" s="40"/>
      <c r="H11" s="40"/>
      <c r="I11" s="26" t="str">
        <f aca="false">IF(COUNT(F11:H11)=0,"",PRODUCT(F11:H11))</f>
        <v/>
      </c>
      <c r="J11" s="40"/>
      <c r="K11" s="41" t="str">
        <f aca="false">IF(OR(I11="",J11=""),"",I11*J11)</f>
        <v/>
      </c>
      <c r="L11" s="41" t="str">
        <f aca="false">IF(OR(I11="",J11=""),"",I11*(J11-$K$24)^2)</f>
        <v/>
      </c>
    </row>
    <row r="12" customFormat="false" ht="15" hidden="false" customHeight="false" outlineLevel="0" collapsed="false">
      <c r="A12" s="5" t="s">
        <v>309</v>
      </c>
      <c r="B12" s="26" t="n">
        <f aca="false">IFERROR(BINOMDIST(B10,B6,B5,TRUE()),"")</f>
        <v>0.999988036739348</v>
      </c>
      <c r="C12" s="9" t="s">
        <v>310</v>
      </c>
      <c r="E12" s="46"/>
      <c r="F12" s="40"/>
      <c r="G12" s="40"/>
      <c r="H12" s="40"/>
      <c r="I12" s="26" t="str">
        <f aca="false">IF(COUNT(F12:H12)=0,"",PRODUCT(F12:H12))</f>
        <v/>
      </c>
      <c r="J12" s="40"/>
      <c r="K12" s="41" t="str">
        <f aca="false">IF(OR(I12="",J12=""),"",I12*J12)</f>
        <v/>
      </c>
      <c r="L12" s="41" t="str">
        <f aca="false">IF(OR(I12="",J12=""),"",I12*(J12-$K$24)^2)</f>
        <v/>
      </c>
    </row>
    <row r="13" customFormat="false" ht="15" hidden="false" customHeight="false" outlineLevel="0" collapsed="false">
      <c r="A13" s="9" t="s">
        <v>311</v>
      </c>
      <c r="E13" s="46"/>
      <c r="F13" s="40"/>
      <c r="G13" s="40"/>
      <c r="H13" s="40"/>
      <c r="I13" s="26" t="str">
        <f aca="false">IF(COUNT(F13:H13)=0,"",PRODUCT(F13:H13))</f>
        <v/>
      </c>
      <c r="J13" s="40"/>
      <c r="K13" s="41" t="str">
        <f aca="false">IF(OR(I13="",J13=""),"",I13*J13)</f>
        <v/>
      </c>
      <c r="L13" s="41" t="str">
        <f aca="false">IF(OR(I13="",J13=""),"",I13*(J13-$K$24)^2)</f>
        <v/>
      </c>
    </row>
    <row r="14" customFormat="false" ht="15" hidden="false" customHeight="false" outlineLevel="0" collapsed="false">
      <c r="E14" s="46"/>
      <c r="F14" s="40"/>
      <c r="G14" s="40"/>
      <c r="H14" s="40"/>
      <c r="I14" s="26" t="str">
        <f aca="false">IF(COUNT(F14:H14)=0,"",PRODUCT(F14:H14))</f>
        <v/>
      </c>
      <c r="J14" s="40"/>
      <c r="K14" s="41" t="str">
        <f aca="false">IF(OR(I14="",J14=""),"",I14*J14)</f>
        <v/>
      </c>
      <c r="L14" s="41" t="str">
        <f aca="false">IF(OR(I14="",J14=""),"",I14*(J14-$K$24)^2)</f>
        <v/>
      </c>
    </row>
    <row r="15" customFormat="false" ht="19.5" hidden="false" customHeight="true" outlineLevel="0" collapsed="false">
      <c r="A15" s="3" t="s">
        <v>312</v>
      </c>
      <c r="B15" s="3"/>
      <c r="C15" s="3"/>
      <c r="E15" s="46"/>
      <c r="F15" s="40"/>
      <c r="G15" s="40"/>
      <c r="H15" s="40"/>
      <c r="I15" s="26" t="str">
        <f aca="false">IF(COUNT(F15:H15)=0,"",PRODUCT(F15:H15))</f>
        <v/>
      </c>
      <c r="J15" s="40"/>
      <c r="K15" s="41" t="str">
        <f aca="false">IF(OR(I15="",J15=""),"",I15*J15)</f>
        <v/>
      </c>
      <c r="L15" s="41" t="str">
        <f aca="false">IF(OR(I15="",J15=""),"",I15*(J15-$K$24)^2)</f>
        <v/>
      </c>
    </row>
    <row r="16" customFormat="false" ht="15" hidden="false" customHeight="false" outlineLevel="0" collapsed="false">
      <c r="A16" s="9" t="s">
        <v>313</v>
      </c>
      <c r="E16" s="46"/>
      <c r="F16" s="40"/>
      <c r="G16" s="40"/>
      <c r="H16" s="40"/>
      <c r="I16" s="26" t="str">
        <f aca="false">IF(COUNT(F16:H16)=0,"",PRODUCT(F16:H16))</f>
        <v/>
      </c>
      <c r="J16" s="40"/>
      <c r="K16" s="41" t="str">
        <f aca="false">IF(OR(I16="",J16=""),"",I16*J16)</f>
        <v/>
      </c>
      <c r="L16" s="41" t="str">
        <f aca="false">IF(OR(I16="",J16=""),"",I16*(J16-$K$24)^2)</f>
        <v/>
      </c>
    </row>
    <row r="17" customFormat="false" ht="15" hidden="false" customHeight="false" outlineLevel="0" collapsed="false">
      <c r="A17" s="5" t="s">
        <v>314</v>
      </c>
      <c r="B17" s="40" t="n">
        <v>0.006</v>
      </c>
      <c r="C17" s="9" t="s">
        <v>315</v>
      </c>
      <c r="E17" s="46"/>
      <c r="F17" s="40"/>
      <c r="G17" s="40"/>
      <c r="H17" s="40"/>
      <c r="I17" s="26" t="str">
        <f aca="false">IF(COUNT(F17:H17)=0,"",PRODUCT(F17:H17))</f>
        <v/>
      </c>
      <c r="J17" s="40"/>
      <c r="K17" s="41" t="str">
        <f aca="false">IF(OR(I17="",J17=""),"",I17*J17)</f>
        <v/>
      </c>
      <c r="L17" s="41" t="str">
        <f aca="false">IF(OR(I17="",J17=""),"",I17*(J17-$K$24)^2)</f>
        <v/>
      </c>
    </row>
    <row r="18" customFormat="false" ht="15" hidden="false" customHeight="false" outlineLevel="0" collapsed="false">
      <c r="A18" s="5" t="s">
        <v>316</v>
      </c>
      <c r="B18" s="40" t="n">
        <v>0.999</v>
      </c>
      <c r="C18" s="9" t="s">
        <v>317</v>
      </c>
      <c r="E18" s="46"/>
      <c r="F18" s="40"/>
      <c r="G18" s="40"/>
      <c r="H18" s="40"/>
      <c r="I18" s="26" t="str">
        <f aca="false">IF(COUNT(F18:H18)=0,"",PRODUCT(F18:H18))</f>
        <v/>
      </c>
      <c r="J18" s="40"/>
      <c r="K18" s="41" t="str">
        <f aca="false">IF(OR(I18="",J18=""),"",I18*J18)</f>
        <v/>
      </c>
      <c r="L18" s="41" t="str">
        <f aca="false">IF(OR(I18="",J18=""),"",I18*(J18-$K$24)^2)</f>
        <v/>
      </c>
    </row>
    <row r="19" customFormat="false" ht="15" hidden="false" customHeight="false" outlineLevel="0" collapsed="false">
      <c r="A19" s="5" t="s">
        <v>318</v>
      </c>
      <c r="B19" s="40" t="n">
        <v>0.01</v>
      </c>
      <c r="C19" s="9" t="s">
        <v>319</v>
      </c>
      <c r="E19" s="46"/>
      <c r="F19" s="40"/>
      <c r="G19" s="40"/>
      <c r="H19" s="40"/>
      <c r="I19" s="26" t="str">
        <f aca="false">IF(COUNT(F19:H19)=0,"",PRODUCT(F19:H19))</f>
        <v/>
      </c>
      <c r="J19" s="40"/>
      <c r="K19" s="41" t="str">
        <f aca="false">IF(OR(I19="",J19=""),"",I19*J19)</f>
        <v/>
      </c>
      <c r="L19" s="41" t="str">
        <f aca="false">IF(OR(I19="",J19=""),"",I19*(J19-$K$24)^2)</f>
        <v/>
      </c>
    </row>
    <row r="20" customFormat="false" ht="15" hidden="false" customHeight="false" outlineLevel="0" collapsed="false">
      <c r="A20" s="5" t="s">
        <v>320</v>
      </c>
      <c r="B20" s="26" t="n">
        <f aca="false">IFERROR(B17*B18,"")</f>
        <v>0.005994</v>
      </c>
      <c r="C20" s="9" t="s">
        <v>321</v>
      </c>
      <c r="E20" s="46"/>
      <c r="F20" s="40"/>
      <c r="G20" s="40"/>
      <c r="H20" s="40"/>
      <c r="I20" s="26" t="str">
        <f aca="false">IF(COUNT(F20:H20)=0,"",PRODUCT(F20:H20))</f>
        <v/>
      </c>
      <c r="J20" s="40"/>
      <c r="K20" s="41" t="str">
        <f aca="false">IF(OR(I20="",J20=""),"",I20*J20)</f>
        <v/>
      </c>
      <c r="L20" s="41" t="str">
        <f aca="false">IF(OR(I20="",J20=""),"",I20*(J20-$K$24)^2)</f>
        <v/>
      </c>
    </row>
    <row r="21" customFormat="false" ht="15" hidden="false" customHeight="false" outlineLevel="0" collapsed="false">
      <c r="A21" s="5" t="s">
        <v>322</v>
      </c>
      <c r="B21" s="26" t="n">
        <f aca="false">IFERROR((1-B17)*B19,"")</f>
        <v>0.00994</v>
      </c>
      <c r="C21" s="9" t="s">
        <v>321</v>
      </c>
      <c r="E21" s="46"/>
      <c r="F21" s="40"/>
      <c r="G21" s="40"/>
      <c r="H21" s="40"/>
      <c r="I21" s="26" t="str">
        <f aca="false">IF(COUNT(F21:H21)=0,"",PRODUCT(F21:H21))</f>
        <v/>
      </c>
      <c r="J21" s="40"/>
      <c r="K21" s="41" t="str">
        <f aca="false">IF(OR(I21="",J21=""),"",I21*J21)</f>
        <v/>
      </c>
      <c r="L21" s="41" t="str">
        <f aca="false">IF(OR(I21="",J21=""),"",I21*(J21-$K$24)^2)</f>
        <v/>
      </c>
    </row>
    <row r="22" customFormat="false" ht="15" hidden="false" customHeight="false" outlineLevel="0" collapsed="false">
      <c r="A22" s="5" t="s">
        <v>323</v>
      </c>
      <c r="B22" s="21" t="n">
        <f aca="false">IFERROR(B20+B21,"")</f>
        <v>0.015934</v>
      </c>
      <c r="C22" s="9" t="s">
        <v>324</v>
      </c>
      <c r="E22" s="46"/>
      <c r="F22" s="40"/>
      <c r="G22" s="40"/>
      <c r="H22" s="40"/>
      <c r="I22" s="26" t="str">
        <f aca="false">IF(COUNT(F22:H22)=0,"",PRODUCT(F22:H22))</f>
        <v/>
      </c>
      <c r="J22" s="40"/>
      <c r="K22" s="41" t="str">
        <f aca="false">IF(OR(I22="",J22=""),"",I22*J22)</f>
        <v/>
      </c>
      <c r="L22" s="41" t="str">
        <f aca="false">IF(OR(I22="",J22=""),"",I22*(J22-$K$24)^2)</f>
        <v/>
      </c>
    </row>
    <row r="23" customFormat="false" ht="15" hidden="false" customHeight="false" outlineLevel="0" collapsed="false">
      <c r="A23" s="5" t="s">
        <v>325</v>
      </c>
      <c r="B23" s="21" t="n">
        <f aca="false">IFERROR(B20/B22,"")</f>
        <v>0.376176729007155</v>
      </c>
      <c r="C23" s="9" t="s">
        <v>326</v>
      </c>
      <c r="E23" s="47" t="str">
        <f aca="false">IF(ABS(I23-1)&lt;0.0000001,"OK - paths sum to 1","WARNING: paths sum to "&amp;TEXT(I23,"0.000000"))</f>
        <v>OK - paths sum to 1</v>
      </c>
      <c r="I23" s="26" t="n">
        <f aca="false">SUM(I7:I22)</f>
        <v>1</v>
      </c>
      <c r="K23" s="26" t="n">
        <f aca="false">SUM(K7:K22)</f>
        <v>1.0404</v>
      </c>
      <c r="L23" s="26" t="n">
        <f aca="false">SUM(L7:L22)</f>
        <v>0.02006784</v>
      </c>
    </row>
    <row r="24" customFormat="false" ht="15" hidden="false" customHeight="false" outlineLevel="0" collapsed="false">
      <c r="A24" s="5" t="s">
        <v>327</v>
      </c>
      <c r="B24" s="26" t="n">
        <f aca="false">IFERROR(1-B23,"")</f>
        <v>0.623823270992846</v>
      </c>
      <c r="C24" s="9" t="s">
        <v>328</v>
      </c>
      <c r="I24" s="27" t="s">
        <v>329</v>
      </c>
      <c r="K24" s="21" t="n">
        <f aca="false">K23</f>
        <v>1.0404</v>
      </c>
      <c r="L24" s="9" t="s">
        <v>330</v>
      </c>
    </row>
    <row r="25" customFormat="false" ht="15" hidden="false" customHeight="false" outlineLevel="0" collapsed="false">
      <c r="A25" s="5" t="s">
        <v>331</v>
      </c>
      <c r="B25" s="26" t="n">
        <f aca="false">IFERROR(1-B22,"")</f>
        <v>0.984066</v>
      </c>
      <c r="I25" s="27" t="s">
        <v>332</v>
      </c>
      <c r="K25" s="21" t="n">
        <f aca="false">L23</f>
        <v>0.02006784</v>
      </c>
      <c r="L25" s="9"/>
    </row>
    <row r="26" customFormat="false" ht="15" hidden="false" customHeight="false" outlineLevel="0" collapsed="false">
      <c r="A26" s="5" t="s">
        <v>333</v>
      </c>
      <c r="B26" s="26" t="n">
        <f aca="false">IFERROR(B17*(1-B18)/(1-B22),"")</f>
        <v>6.09715202029133E-006</v>
      </c>
      <c r="C26" s="9" t="s">
        <v>334</v>
      </c>
      <c r="I26" s="27" t="s">
        <v>335</v>
      </c>
      <c r="K26" s="21" t="n">
        <f aca="false">IFERROR(SQRT(K25),"")</f>
        <v>0.141661003808388</v>
      </c>
      <c r="L26" s="9"/>
    </row>
    <row r="27" customFormat="false" ht="15" hidden="false" customHeight="false" outlineLevel="0" collapsed="false">
      <c r="A27" s="9" t="s">
        <v>336</v>
      </c>
    </row>
    <row r="28" customFormat="false" ht="15" hidden="false" customHeight="false" outlineLevel="0" collapsed="false">
      <c r="I28" s="9" t="s">
        <v>337</v>
      </c>
    </row>
  </sheetData>
  <mergeCells count="6">
    <mergeCell ref="A1:L1"/>
    <mergeCell ref="A2:L2"/>
    <mergeCell ref="A4:C4"/>
    <mergeCell ref="E4:L4"/>
    <mergeCell ref="E5:L5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30" hidden="false" customHeight="true" outlineLevel="0" collapsed="false">
      <c r="A1" s="1" t="s">
        <v>338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339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340</v>
      </c>
      <c r="B4" s="3"/>
      <c r="C4" s="3"/>
      <c r="E4" s="43" t="s">
        <v>341</v>
      </c>
      <c r="F4" s="43"/>
      <c r="G4" s="43"/>
    </row>
    <row r="5" customFormat="false" ht="15" hidden="false" customHeight="false" outlineLevel="0" collapsed="false">
      <c r="A5" s="5" t="s">
        <v>342</v>
      </c>
      <c r="B5" s="20" t="n">
        <v>1</v>
      </c>
      <c r="C5" s="9" t="s">
        <v>343</v>
      </c>
      <c r="E5" s="9" t="s">
        <v>344</v>
      </c>
    </row>
    <row r="6" customFormat="false" ht="15" hidden="false" customHeight="false" outlineLevel="0" collapsed="false">
      <c r="A6" s="5" t="s">
        <v>345</v>
      </c>
      <c r="B6" s="20" t="n">
        <v>1</v>
      </c>
      <c r="E6" s="5" t="s">
        <v>346</v>
      </c>
      <c r="F6" s="20" t="n">
        <v>0.4</v>
      </c>
    </row>
    <row r="7" customFormat="false" ht="15" hidden="false" customHeight="false" outlineLevel="0" collapsed="false">
      <c r="A7" s="5" t="s">
        <v>347</v>
      </c>
      <c r="B7" s="20" t="n">
        <v>100</v>
      </c>
      <c r="C7" s="9" t="s">
        <v>348</v>
      </c>
      <c r="E7" s="5" t="s">
        <v>349</v>
      </c>
      <c r="F7" s="20" t="n">
        <v>0.4</v>
      </c>
    </row>
    <row r="8" customFormat="false" ht="15" hidden="false" customHeight="false" outlineLevel="0" collapsed="false">
      <c r="A8" s="5" t="s">
        <v>350</v>
      </c>
      <c r="B8" s="20" t="n">
        <v>10</v>
      </c>
      <c r="E8" s="5" t="s">
        <v>351</v>
      </c>
      <c r="F8" s="20" t="n">
        <v>0.2</v>
      </c>
    </row>
    <row r="9" customFormat="false" ht="15" hidden="false" customHeight="false" outlineLevel="0" collapsed="false">
      <c r="A9" s="5" t="s">
        <v>352</v>
      </c>
      <c r="B9" s="20" t="n">
        <v>150</v>
      </c>
      <c r="E9" s="5" t="s">
        <v>353</v>
      </c>
      <c r="F9" s="20" t="n">
        <v>0.1</v>
      </c>
    </row>
    <row r="10" customFormat="false" ht="15" hidden="false" customHeight="false" outlineLevel="0" collapsed="false">
      <c r="A10" s="5" t="s">
        <v>354</v>
      </c>
      <c r="B10" s="20" t="n">
        <v>15</v>
      </c>
      <c r="E10" s="5" t="s">
        <v>229</v>
      </c>
      <c r="F10" s="20" t="n">
        <v>0.15</v>
      </c>
    </row>
    <row r="11" customFormat="false" ht="15" hidden="false" customHeight="false" outlineLevel="0" collapsed="false">
      <c r="A11" s="5" t="s">
        <v>355</v>
      </c>
      <c r="B11" s="20" t="n">
        <v>0.8</v>
      </c>
      <c r="C11" s="9" t="s">
        <v>356</v>
      </c>
      <c r="E11" s="5" t="s">
        <v>271</v>
      </c>
      <c r="F11" s="20" t="n">
        <v>0.2</v>
      </c>
    </row>
    <row r="12" customFormat="false" ht="15" hidden="false" customHeight="false" outlineLevel="0" collapsed="false">
      <c r="E12" s="5" t="s">
        <v>230</v>
      </c>
      <c r="F12" s="20" t="n">
        <v>0.35</v>
      </c>
    </row>
    <row r="13" customFormat="false" ht="19.5" hidden="false" customHeight="true" outlineLevel="0" collapsed="false">
      <c r="A13" s="3" t="s">
        <v>244</v>
      </c>
      <c r="B13" s="3"/>
      <c r="C13" s="3"/>
      <c r="E13" s="5" t="s">
        <v>357</v>
      </c>
      <c r="F13" s="20" t="n">
        <v>0.06</v>
      </c>
    </row>
    <row r="14" customFormat="false" ht="15" hidden="false" customHeight="false" outlineLevel="0" collapsed="false">
      <c r="A14" s="5" t="s">
        <v>332</v>
      </c>
      <c r="B14" s="26" t="n">
        <f aca="false">B8^2</f>
        <v>100</v>
      </c>
      <c r="C14" s="9" t="s">
        <v>358</v>
      </c>
      <c r="E14" s="5" t="s">
        <v>359</v>
      </c>
      <c r="F14" s="20" t="n">
        <v>0.04</v>
      </c>
    </row>
    <row r="15" customFormat="false" ht="15" hidden="false" customHeight="false" outlineLevel="0" collapsed="false">
      <c r="A15" s="5" t="s">
        <v>273</v>
      </c>
      <c r="B15" s="26" t="n">
        <f aca="false">B10^2</f>
        <v>225</v>
      </c>
      <c r="C15" s="9" t="s">
        <v>360</v>
      </c>
      <c r="E15" s="5" t="s">
        <v>355</v>
      </c>
      <c r="F15" s="20" t="n">
        <v>0.5</v>
      </c>
    </row>
    <row r="16" customFormat="false" ht="15" hidden="false" customHeight="false" outlineLevel="0" collapsed="false">
      <c r="A16" s="5" t="s">
        <v>361</v>
      </c>
      <c r="B16" s="26" t="n">
        <f aca="false">2*B5*B6*B8*B10*B11</f>
        <v>240</v>
      </c>
      <c r="C16" s="9" t="s">
        <v>362</v>
      </c>
      <c r="E16" s="5" t="s">
        <v>363</v>
      </c>
      <c r="F16" s="20" t="n">
        <v>0.1</v>
      </c>
    </row>
    <row r="17" customFormat="false" ht="15" hidden="false" customHeight="false" outlineLevel="0" collapsed="false">
      <c r="A17" s="5" t="s">
        <v>364</v>
      </c>
      <c r="B17" s="21" t="n">
        <f aca="false">B5*B7+B6*B9</f>
        <v>250</v>
      </c>
      <c r="C17" s="9" t="s">
        <v>365</v>
      </c>
      <c r="E17" s="5" t="s">
        <v>366</v>
      </c>
      <c r="F17" s="20" t="n">
        <v>0.2</v>
      </c>
    </row>
    <row r="18" customFormat="false" ht="15" hidden="false" customHeight="false" outlineLevel="0" collapsed="false">
      <c r="A18" s="5" t="s">
        <v>367</v>
      </c>
      <c r="B18" s="21" t="n">
        <f aca="false">B5^2*B14+B6^2*B15+B16</f>
        <v>565</v>
      </c>
      <c r="C18" s="9" t="s">
        <v>368</v>
      </c>
    </row>
    <row r="19" customFormat="false" ht="15" hidden="false" customHeight="false" outlineLevel="0" collapsed="false">
      <c r="A19" s="5" t="s">
        <v>369</v>
      </c>
      <c r="B19" s="21" t="n">
        <f aca="false">IFERROR(SQRT(B18),"")</f>
        <v>23.7697286480094</v>
      </c>
      <c r="C19" s="9" t="s">
        <v>370</v>
      </c>
      <c r="E19" s="5" t="s">
        <v>371</v>
      </c>
      <c r="F19" s="21" t="n">
        <f aca="false">F6*F9+F7*F11+F8*F13</f>
        <v>0.132</v>
      </c>
      <c r="G19" s="9" t="s">
        <v>372</v>
      </c>
    </row>
    <row r="20" customFormat="false" ht="15" hidden="false" customHeight="false" outlineLevel="0" collapsed="false">
      <c r="A20" s="48" t="str">
        <f aca="false">IF(B18&lt;0,"WARNING: negative variance - check your Corr, it must be between -1 and 1.","")</f>
        <v/>
      </c>
      <c r="B20" s="48"/>
      <c r="C20" s="48"/>
      <c r="E20" s="5" t="s">
        <v>373</v>
      </c>
      <c r="F20" s="21" t="n">
        <f aca="false">F6^2*F10^2+F7^2*F12^2+F8^2*F14^2+2*F6*F7*F10*F12*F15+2*F6*F8*F10*F14*F16+2*F7*F8*F12*F14*F17</f>
        <v>0.032208</v>
      </c>
      <c r="G20" s="9" t="s">
        <v>374</v>
      </c>
    </row>
    <row r="21" customFormat="false" ht="15" hidden="false" customHeight="false" outlineLevel="0" collapsed="false">
      <c r="E21" s="5" t="s">
        <v>167</v>
      </c>
      <c r="F21" s="21" t="n">
        <f aca="false">IFERROR(SQRT(F20),"")</f>
        <v>0.179465874193396</v>
      </c>
    </row>
    <row r="22" customFormat="false" ht="19.5" hidden="false" customHeight="true" outlineLevel="0" collapsed="false">
      <c r="A22" s="3" t="s">
        <v>375</v>
      </c>
      <c r="B22" s="3"/>
      <c r="C22" s="3"/>
    </row>
    <row r="23" customFormat="false" ht="15" hidden="false" customHeight="false" outlineLevel="0" collapsed="false">
      <c r="A23" s="5" t="s">
        <v>376</v>
      </c>
      <c r="B23" s="26" t="n">
        <f aca="false">IFERROR(SQRT(B5^2*B14+B6^2*B15),"")</f>
        <v>18.0277563773199</v>
      </c>
      <c r="C23" s="9" t="s">
        <v>377</v>
      </c>
      <c r="E23" s="5" t="s">
        <v>378</v>
      </c>
      <c r="F23" s="17" t="n">
        <f aca="false">F6+F7+F8</f>
        <v>1</v>
      </c>
      <c r="G23" s="9" t="s">
        <v>379</v>
      </c>
    </row>
    <row r="24" customFormat="false" ht="15" hidden="false" customHeight="false" outlineLevel="0" collapsed="false">
      <c r="A24" s="5" t="s">
        <v>380</v>
      </c>
      <c r="B24" s="26" t="n">
        <f aca="false">IFERROR(SQRT(B5^2*B14+B6^2*B15+2*B5*B6*B8*B10),"")</f>
        <v>25</v>
      </c>
      <c r="C24" s="9" t="s">
        <v>381</v>
      </c>
    </row>
    <row r="25" customFormat="false" ht="15" hidden="false" customHeight="false" outlineLevel="0" collapsed="false">
      <c r="A25" s="5" t="s">
        <v>382</v>
      </c>
      <c r="B25" s="26" t="n">
        <f aca="false">IFERROR(SQRT(MAX(0,B5^2*B14+B6^2*B15-2*B5*B6*B8*B10)),"")</f>
        <v>5</v>
      </c>
      <c r="C25" s="9" t="s">
        <v>383</v>
      </c>
    </row>
    <row r="26" customFormat="false" ht="15" hidden="false" customHeight="false" outlineLevel="0" collapsed="false">
      <c r="A26" s="5" t="s">
        <v>384</v>
      </c>
      <c r="B26" s="26" t="n">
        <f aca="false">B5*B8+B6*B10</f>
        <v>25</v>
      </c>
      <c r="C26" s="9" t="s">
        <v>385</v>
      </c>
    </row>
    <row r="27" customFormat="false" ht="15" hidden="false" customHeight="false" outlineLevel="0" collapsed="false">
      <c r="A27" s="9" t="s">
        <v>386</v>
      </c>
    </row>
    <row r="28" customFormat="false" ht="15" hidden="false" customHeight="false" outlineLevel="0" collapsed="false">
      <c r="A28" s="9" t="s">
        <v>387</v>
      </c>
    </row>
    <row r="29" customFormat="false" ht="15" hidden="false" customHeight="false" outlineLevel="0" collapsed="false">
      <c r="A29" s="9" t="s">
        <v>388</v>
      </c>
    </row>
  </sheetData>
  <mergeCells count="7">
    <mergeCell ref="A1:H1"/>
    <mergeCell ref="A2:H2"/>
    <mergeCell ref="A4:C4"/>
    <mergeCell ref="E4:G4"/>
    <mergeCell ref="A13:C13"/>
    <mergeCell ref="A20:C20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4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4"/>
    <col collapsed="false" customWidth="true" hidden="false" outlineLevel="0" max="10" min="10" style="0" width="30"/>
    <col collapsed="false" customWidth="true" hidden="false" outlineLevel="0" max="12" min="11" style="0" width="14"/>
  </cols>
  <sheetData>
    <row r="1" customFormat="false" ht="30" hidden="false" customHeight="true" outlineLevel="0" collapsed="false">
      <c r="A1" s="1" t="s">
        <v>389</v>
      </c>
      <c r="B1" s="1"/>
      <c r="C1" s="1"/>
      <c r="D1" s="1"/>
    </row>
    <row r="2" customFormat="false" ht="15.75" hidden="false" customHeight="true" outlineLevel="0" collapsed="false">
      <c r="A2" s="2" t="s">
        <v>390</v>
      </c>
      <c r="B2" s="2"/>
      <c r="C2" s="2"/>
      <c r="D2" s="2"/>
    </row>
    <row r="3" customFormat="false" ht="15" hidden="false" customHeight="false" outlineLevel="0" collapsed="false">
      <c r="A3" s="9" t="s">
        <v>391</v>
      </c>
    </row>
    <row r="4" customFormat="false" ht="19.5" hidden="false" customHeight="true" outlineLevel="0" collapsed="false">
      <c r="A4" s="3" t="s">
        <v>392</v>
      </c>
      <c r="B4" s="3"/>
      <c r="C4" s="3"/>
      <c r="D4" s="3"/>
      <c r="F4" s="43" t="s">
        <v>393</v>
      </c>
      <c r="G4" s="43"/>
      <c r="H4" s="43"/>
      <c r="J4" s="43" t="s">
        <v>394</v>
      </c>
      <c r="K4" s="43"/>
      <c r="L4" s="43"/>
    </row>
    <row r="5" customFormat="false" ht="15" hidden="false" customHeight="false" outlineLevel="0" collapsed="false">
      <c r="A5" s="5" t="s">
        <v>395</v>
      </c>
      <c r="B5" s="20" t="n">
        <v>0.1</v>
      </c>
      <c r="C5" s="49" t="n">
        <f aca="false">IFERROR(B5,"")</f>
        <v>0.1</v>
      </c>
      <c r="F5" s="25" t="s">
        <v>396</v>
      </c>
      <c r="G5" s="25" t="s">
        <v>397</v>
      </c>
      <c r="H5" s="25" t="s">
        <v>398</v>
      </c>
      <c r="J5" s="27" t="s">
        <v>399</v>
      </c>
    </row>
    <row r="6" customFormat="false" ht="30" hidden="false" customHeight="true" outlineLevel="0" collapsed="false">
      <c r="A6" s="5" t="s">
        <v>400</v>
      </c>
      <c r="B6" s="20" t="n">
        <v>0.15</v>
      </c>
      <c r="C6" s="49" t="n">
        <f aca="false">IFERROR(B6,"")</f>
        <v>0.15</v>
      </c>
      <c r="F6" s="50" t="n">
        <v>0</v>
      </c>
      <c r="G6" s="51" t="n">
        <f aca="false">IFERROR(SQRT(F6^2*$B$6^2+(1-F6)^2*$B$8^2+2*F6*(1-F6)*$B$6*$B$8*$B$9),"")</f>
        <v>0.35</v>
      </c>
      <c r="H6" s="51" t="n">
        <f aca="false">IFERROR(F6*$B$5+(1-F6)*$B$7,"")</f>
        <v>0.2</v>
      </c>
      <c r="J6" s="52" t="str">
        <f aca="false">IF(MAX(B5,B7)=B5,"NO. With 0&lt;=w&lt;=1 the return is a weighted average, capped at "&amp;TEXT(B5,"0.0000"),"NO. Capped at "&amp;TEXT(B7,"0.0000"))</f>
        <v>NO. Capped at 0.2000</v>
      </c>
      <c r="K6" s="52"/>
      <c r="L6" s="52"/>
    </row>
    <row r="7" customFormat="false" ht="15" hidden="false" customHeight="false" outlineLevel="0" collapsed="false">
      <c r="A7" s="5" t="s">
        <v>401</v>
      </c>
      <c r="B7" s="20" t="n">
        <v>0.2</v>
      </c>
      <c r="C7" s="49" t="n">
        <f aca="false">IFERROR(B7,"")</f>
        <v>0.2</v>
      </c>
      <c r="F7" s="50" t="n">
        <v>0.05</v>
      </c>
      <c r="G7" s="51" t="n">
        <f aca="false">IFERROR(SQRT(F7^2*$B$6^2+(1-F7)^2*$B$8^2+2*F7*(1-F7)*$B$6*$B$8*$B$9),"")</f>
        <v>0.336312726491282</v>
      </c>
      <c r="H7" s="51" t="n">
        <f aca="false">IFERROR(F7*$B$5+(1-F7)*$B$7,"")</f>
        <v>0.195</v>
      </c>
    </row>
    <row r="8" customFormat="false" ht="15" hidden="false" customHeight="false" outlineLevel="0" collapsed="false">
      <c r="A8" s="5" t="s">
        <v>402</v>
      </c>
      <c r="B8" s="20" t="n">
        <v>0.35</v>
      </c>
      <c r="C8" s="49" t="n">
        <f aca="false">IFERROR(B8,"")</f>
        <v>0.35</v>
      </c>
      <c r="F8" s="50" t="n">
        <v>0.1</v>
      </c>
      <c r="G8" s="51" t="n">
        <f aca="false">IFERROR(SQRT(F8^2*$B$6^2+(1-F8)^2*$B$8^2+2*F8*(1-F8)*$B$6*$B$8*$B$9),"")</f>
        <v>0.32276152187025</v>
      </c>
      <c r="H8" s="51" t="n">
        <f aca="false">IFERROR(F8*$B$5+(1-F8)*$B$7,"")</f>
        <v>0.19</v>
      </c>
      <c r="J8" s="27" t="s">
        <v>403</v>
      </c>
    </row>
    <row r="9" customFormat="false" ht="30" hidden="false" customHeight="true" outlineLevel="0" collapsed="false">
      <c r="A9" s="5" t="s">
        <v>355</v>
      </c>
      <c r="B9" s="20" t="n">
        <v>0.5</v>
      </c>
      <c r="F9" s="50" t="n">
        <v>0.15</v>
      </c>
      <c r="G9" s="51" t="n">
        <f aca="false">IFERROR(SQRT(F9^2*$B$6^2+(1-F9)^2*$B$8^2+2*F9*(1-F9)*$B$6*$B$8*$B$9),"")</f>
        <v>0.309364267490607</v>
      </c>
      <c r="H9" s="51" t="n">
        <f aca="false">IFERROR(F9*$B$5+(1-F9)*$B$7,"")</f>
        <v>0.185</v>
      </c>
      <c r="J9" s="52" t="str">
        <f aca="false">"NO. Floored at "&amp;TEXT(MIN(B5,B7),"0.0000")&amp;" (the weaker asset)."</f>
        <v>NO. Floored at 0.1000 (the weaker asset).</v>
      </c>
      <c r="K9" s="52"/>
      <c r="L9" s="52"/>
    </row>
    <row r="10" customFormat="false" ht="15" hidden="false" customHeight="false" outlineLevel="0" collapsed="false">
      <c r="F10" s="50" t="n">
        <v>0.2</v>
      </c>
      <c r="G10" s="51" t="n">
        <f aca="false">IFERROR(SQRT(F10^2*$B$6^2+(1-F10)^2*$B$8^2+2*F10*(1-F10)*$B$6*$B$8*$B$9),"")</f>
        <v>0.296141857899217</v>
      </c>
      <c r="H10" s="51" t="n">
        <f aca="false">IFERROR(F10*$B$5+(1-F10)*$B$7,"")</f>
        <v>0.18</v>
      </c>
    </row>
    <row r="11" customFormat="false" ht="19.5" hidden="false" customHeight="true" outlineLevel="0" collapsed="false">
      <c r="A11" s="3" t="s">
        <v>404</v>
      </c>
      <c r="B11" s="3"/>
      <c r="C11" s="3"/>
      <c r="D11" s="3"/>
      <c r="F11" s="50" t="n">
        <v>0.25</v>
      </c>
      <c r="G11" s="51" t="n">
        <f aca="false">IFERROR(SQRT(F11^2*$B$6^2+(1-F11)^2*$B$8^2+2*F11*(1-F11)*$B$6*$B$8*$B$9),"")</f>
        <v>0.283118791322653</v>
      </c>
      <c r="H11" s="51" t="n">
        <f aca="false">IFERROR(F11*$B$5+(1-F11)*$B$7,"")</f>
        <v>0.175</v>
      </c>
      <c r="J11" s="27" t="s">
        <v>405</v>
      </c>
    </row>
    <row r="12" customFormat="false" ht="30" hidden="false" customHeight="true" outlineLevel="0" collapsed="false">
      <c r="A12" s="5" t="s">
        <v>406</v>
      </c>
      <c r="B12" s="20" t="n">
        <v>0.4</v>
      </c>
      <c r="C12" s="9" t="s">
        <v>407</v>
      </c>
      <c r="F12" s="50" t="n">
        <v>0.3</v>
      </c>
      <c r="G12" s="51" t="n">
        <f aca="false">IFERROR(SQRT(F12^2*$B$6^2+(1-F12)^2*$B$8^2+2*F12*(1-F12)*$B$6*$B$8*$B$9),"")</f>
        <v>0.270323879818265</v>
      </c>
      <c r="H12" s="51" t="n">
        <f aca="false">IFERROR(F12*$B$5+(1-F12)*$B$7,"")</f>
        <v>0.17</v>
      </c>
      <c r="J12" s="52" t="str">
        <f aca="false">"NO (unless Corr is high AND weights extreme). Max here = "&amp;TEXT(MAX(G6:G26),"0.0000")</f>
        <v>NO (unless Corr is high AND weights extreme). Max here = 0.3500</v>
      </c>
      <c r="K12" s="52"/>
      <c r="L12" s="52"/>
    </row>
    <row r="13" customFormat="false" ht="15" hidden="false" customHeight="false" outlineLevel="0" collapsed="false">
      <c r="A13" s="5" t="s">
        <v>408</v>
      </c>
      <c r="B13" s="17" t="n">
        <f aca="false">1-B12</f>
        <v>0.6</v>
      </c>
      <c r="F13" s="50" t="n">
        <v>0.35</v>
      </c>
      <c r="G13" s="51" t="n">
        <f aca="false">IFERROR(SQRT(F13^2*$B$6^2+(1-F13)^2*$B$8^2+2*F13*(1-F13)*$B$6*$B$8*$B$9),"")</f>
        <v>0.257791097596484</v>
      </c>
      <c r="H13" s="51" t="n">
        <f aca="false">IFERROR(F13*$B$5+(1-F13)*$B$7,"")</f>
        <v>0.165</v>
      </c>
    </row>
    <row r="14" customFormat="false" ht="15" hidden="false" customHeight="false" outlineLevel="0" collapsed="false">
      <c r="A14" s="5" t="s">
        <v>409</v>
      </c>
      <c r="B14" s="21" t="n">
        <f aca="false">B12*B5+(1-B12)*B7</f>
        <v>0.16</v>
      </c>
      <c r="C14" s="49" t="n">
        <f aca="false">IFERROR(B14,"")</f>
        <v>0.16</v>
      </c>
      <c r="F14" s="50" t="n">
        <v>0.4</v>
      </c>
      <c r="G14" s="51" t="n">
        <f aca="false">IFERROR(SQRT(F14^2*$B$6^2+(1-F14)^2*$B$8^2+2*F14*(1-F14)*$B$6*$B$8*$B$9),"")</f>
        <v>0.245560583156174</v>
      </c>
      <c r="H14" s="51" t="n">
        <f aca="false">IFERROR(F14*$B$5+(1-F14)*$B$7,"")</f>
        <v>0.16</v>
      </c>
      <c r="J14" s="27" t="s">
        <v>410</v>
      </c>
    </row>
    <row r="15" customFormat="false" ht="30" hidden="false" customHeight="true" outlineLevel="0" collapsed="false">
      <c r="A15" s="5" t="s">
        <v>411</v>
      </c>
      <c r="B15" s="26" t="n">
        <f aca="false">B12^2*B6^2+(1-B12)^2*B8^2+2*B12*(1-B12)*B6*B8*B9</f>
        <v>0.0603</v>
      </c>
      <c r="C15" s="9" t="s">
        <v>412</v>
      </c>
      <c r="F15" s="50" t="n">
        <v>0.45</v>
      </c>
      <c r="G15" s="51" t="n">
        <f aca="false">IFERROR(SQRT(F15^2*$B$6^2+(1-F15)^2*$B$8^2+2*F15*(1-F15)*$B$6*$B$8*$B$9),"")</f>
        <v>0.233679802293651</v>
      </c>
      <c r="H15" s="51" t="n">
        <f aca="false">IFERROR(F15*$B$5+(1-F15)*$B$7,"")</f>
        <v>0.155</v>
      </c>
      <c r="J15" s="52" t="str">
        <f aca="false">IF(B42&lt;MIN(B6,B8),"YES - min stdev "&amp;TEXT(B42,"0.0000")&amp;" &lt; safer asset "&amp;TEXT(MIN(B6,B8),"0.0000")&amp;". THE PORTFOLIO EFFECT.","NO at this correlation.")</f>
        <v>YES - min stdev 0.1495 &lt; safer asset 0.1500. THE PORTFOLIO EFFECT.</v>
      </c>
      <c r="K15" s="52"/>
      <c r="L15" s="52"/>
    </row>
    <row r="16" customFormat="false" ht="15" hidden="false" customHeight="false" outlineLevel="0" collapsed="false">
      <c r="A16" s="5" t="s">
        <v>413</v>
      </c>
      <c r="B16" s="21" t="n">
        <f aca="false">IFERROR(SQRT(B15),"")</f>
        <v>0.245560583156174</v>
      </c>
      <c r="C16" s="49" t="n">
        <f aca="false">IFERROR(B16,"")</f>
        <v>0.245560583156174</v>
      </c>
      <c r="F16" s="50" t="n">
        <v>0.5</v>
      </c>
      <c r="G16" s="51" t="n">
        <f aca="false">IFERROR(SQRT(F16^2*$B$6^2+(1-F16)^2*$B$8^2+2*F16*(1-F16)*$B$6*$B$8*$B$9),"")</f>
        <v>0.22220486043289</v>
      </c>
      <c r="H16" s="51" t="n">
        <f aca="false">IFERROR(F16*$B$5+(1-F16)*$B$7,"")</f>
        <v>0.15</v>
      </c>
    </row>
    <row r="17" customFormat="false" ht="15" hidden="false" customHeight="false" outlineLevel="0" collapsed="false">
      <c r="F17" s="50" t="n">
        <v>0.55</v>
      </c>
      <c r="G17" s="51" t="n">
        <f aca="false">IFERROR(SQRT(F17^2*$B$6^2+(1-F17)^2*$B$8^2+2*F17*(1-F17)*$B$6*$B$8*$B$9),"")</f>
        <v>0.211201917604931</v>
      </c>
      <c r="H17" s="51" t="n">
        <f aca="false">IFERROR(F17*$B$5+(1-F17)*$B$7,"")</f>
        <v>0.145</v>
      </c>
    </row>
    <row r="18" customFormat="false" ht="19.5" hidden="false" customHeight="true" outlineLevel="0" collapsed="false">
      <c r="A18" s="3" t="s">
        <v>414</v>
      </c>
      <c r="B18" s="3"/>
      <c r="C18" s="3"/>
      <c r="D18" s="3"/>
      <c r="F18" s="50" t="n">
        <v>0.6</v>
      </c>
      <c r="G18" s="51" t="n">
        <f aca="false">IFERROR(SQRT(F18^2*$B$6^2+(1-F18)^2*$B$8^2+2*F18*(1-F18)*$B$6*$B$8*$B$9),"")</f>
        <v>0.200748598998847</v>
      </c>
      <c r="H18" s="51" t="n">
        <f aca="false">IFERROR(F18*$B$5+(1-F18)*$B$7,"")</f>
        <v>0.14</v>
      </c>
      <c r="J18" s="29" t="s">
        <v>415</v>
      </c>
    </row>
    <row r="19" customFormat="false" ht="15" hidden="false" customHeight="true" outlineLevel="0" collapsed="false">
      <c r="A19" s="5" t="s">
        <v>416</v>
      </c>
      <c r="B19" s="20" t="n">
        <v>0.15</v>
      </c>
      <c r="C19" s="9" t="s">
        <v>417</v>
      </c>
      <c r="F19" s="50" t="n">
        <v>0.65</v>
      </c>
      <c r="G19" s="51" t="n">
        <f aca="false">IFERROR(SQRT(F19^2*$B$6^2+(1-F19)^2*$B$8^2+2*F19*(1-F19)*$B$6*$B$8*$B$9),"")</f>
        <v>0.1909351984313</v>
      </c>
      <c r="H19" s="51" t="n">
        <f aca="false">IFERROR(F19*$B$5+(1-F19)*$B$7,"")</f>
        <v>0.135</v>
      </c>
      <c r="J19" s="53" t="s">
        <v>418</v>
      </c>
      <c r="K19" s="53"/>
      <c r="L19" s="53"/>
    </row>
    <row r="20" customFormat="false" ht="15" hidden="false" customHeight="true" outlineLevel="0" collapsed="false">
      <c r="A20" s="5" t="s">
        <v>419</v>
      </c>
      <c r="B20" s="21" t="n">
        <f aca="false">IFERROR((B19-B7)/(B5-B7),"")</f>
        <v>0.5</v>
      </c>
      <c r="C20" s="9" t="s">
        <v>420</v>
      </c>
      <c r="F20" s="50" t="n">
        <v>0.7</v>
      </c>
      <c r="G20" s="51" t="n">
        <f aca="false">IFERROR(SQRT(F20^2*$B$6^2+(1-F20)^2*$B$8^2+2*F20*(1-F20)*$B$6*$B$8*$B$9),"")</f>
        <v>0.181865334794732</v>
      </c>
      <c r="H20" s="51" t="n">
        <f aca="false">IFERROR(F20*$B$5+(1-F20)*$B$7,"")</f>
        <v>0.13</v>
      </c>
      <c r="J20" s="53" t="s">
        <v>421</v>
      </c>
      <c r="K20" s="53"/>
      <c r="L20" s="53"/>
    </row>
    <row r="21" customFormat="false" ht="15" hidden="false" customHeight="true" outlineLevel="0" collapsed="false">
      <c r="A21" s="5" t="s">
        <v>422</v>
      </c>
      <c r="B21" s="21" t="n">
        <f aca="false">IFERROR(1-B20,"")</f>
        <v>0.5</v>
      </c>
      <c r="F21" s="50" t="n">
        <v>0.75</v>
      </c>
      <c r="G21" s="51" t="n">
        <f aca="false">IFERROR(SQRT(F21^2*$B$6^2+(1-F21)^2*$B$8^2+2*F21*(1-F21)*$B$6*$B$8*$B$9),"")</f>
        <v>0.173655549868123</v>
      </c>
      <c r="H21" s="51" t="n">
        <f aca="false">IFERROR(F21*$B$5+(1-F21)*$B$7,"")</f>
        <v>0.125</v>
      </c>
      <c r="J21" s="53" t="s">
        <v>423</v>
      </c>
      <c r="K21" s="53"/>
      <c r="L21" s="53"/>
    </row>
    <row r="22" customFormat="false" ht="15" hidden="false" customHeight="true" outlineLevel="0" collapsed="false">
      <c r="A22" s="5" t="s">
        <v>424</v>
      </c>
      <c r="B22" s="21" t="n">
        <f aca="false">IFERROR(SQRT(B20^2*B6^2+(1-B20)^2*B8^2+2*B20*(1-B20)*B6*B8*B9),"")</f>
        <v>0.22220486043289</v>
      </c>
      <c r="C22" s="9" t="s">
        <v>425</v>
      </c>
      <c r="F22" s="50" t="n">
        <v>0.8</v>
      </c>
      <c r="G22" s="51" t="n">
        <f aca="false">IFERROR(SQRT(F22^2*$B$6^2+(1-F22)^2*$B$8^2+2*F22*(1-F22)*$B$6*$B$8*$B$9),"")</f>
        <v>0.166433169770932</v>
      </c>
      <c r="H22" s="51" t="n">
        <f aca="false">IFERROR(F22*$B$5+(1-F22)*$B$7,"")</f>
        <v>0.12</v>
      </c>
      <c r="J22" s="53" t="s">
        <v>426</v>
      </c>
      <c r="K22" s="53"/>
      <c r="L22" s="53"/>
    </row>
    <row r="23" customFormat="false" ht="15" hidden="false" customHeight="false" outlineLevel="0" collapsed="false">
      <c r="A23" s="54" t="str">
        <f aca="false">IF(B20="","",IF(OR(B20&lt;0,B20&gt;1),"NOTE: w is outside [0,1] - this needs short selling. Target return is not reachable with 0&lt;=w&lt;=1.","w is between 0 and 1 - a valid long-only portfolio."))</f>
        <v>w is between 0 and 1 - a valid long-only portfolio.</v>
      </c>
      <c r="B23" s="54"/>
      <c r="C23" s="54"/>
      <c r="D23" s="54"/>
      <c r="F23" s="50" t="n">
        <v>0.85</v>
      </c>
      <c r="G23" s="51" t="n">
        <f aca="false">IFERROR(SQRT(F23^2*$B$6^2+(1-F23)^2*$B$8^2+2*F23*(1-F23)*$B$6*$B$8*$B$9),"")</f>
        <v>0.16033168744824</v>
      </c>
      <c r="H23" s="51" t="n">
        <f aca="false">IFERROR(F23*$B$5+(1-F23)*$B$7,"")</f>
        <v>0.115</v>
      </c>
    </row>
    <row r="24" customFormat="false" ht="15" hidden="false" customHeight="false" outlineLevel="0" collapsed="false">
      <c r="A24" s="9" t="s">
        <v>427</v>
      </c>
      <c r="F24" s="50" t="n">
        <v>0.9</v>
      </c>
      <c r="G24" s="51" t="n">
        <f aca="false">IFERROR(SQRT(F24^2*$B$6^2+(1-F24)^2*$B$8^2+2*F24*(1-F24)*$B$6*$B$8*$B$9),"")</f>
        <v>0.155483118054662</v>
      </c>
      <c r="H24" s="51" t="n">
        <f aca="false">IFERROR(F24*$B$5+(1-F24)*$B$7,"")</f>
        <v>0.11</v>
      </c>
    </row>
    <row r="25" customFormat="false" ht="15" hidden="false" customHeight="false" outlineLevel="0" collapsed="false">
      <c r="F25" s="50" t="n">
        <v>0.95</v>
      </c>
      <c r="G25" s="51" t="n">
        <f aca="false">IFERROR(SQRT(F25^2*$B$6^2+(1-F25)^2*$B$8^2+2*F25*(1-F25)*$B$6*$B$8*$B$9),"")</f>
        <v>0.152007401135603</v>
      </c>
      <c r="H25" s="51" t="n">
        <f aca="false">IFERROR(F25*$B$5+(1-F25)*$B$7,"")</f>
        <v>0.105</v>
      </c>
    </row>
    <row r="26" customFormat="false" ht="19.5" hidden="false" customHeight="true" outlineLevel="0" collapsed="false">
      <c r="A26" s="3" t="s">
        <v>428</v>
      </c>
      <c r="B26" s="3"/>
      <c r="C26" s="3"/>
      <c r="D26" s="3"/>
      <c r="F26" s="50" t="n">
        <v>1</v>
      </c>
      <c r="G26" s="51" t="n">
        <f aca="false">IFERROR(SQRT(F26^2*$B$6^2+(1-F26)^2*$B$8^2+2*F26*(1-F26)*$B$6*$B$8*$B$9),"")</f>
        <v>0.15</v>
      </c>
      <c r="H26" s="51" t="n">
        <f aca="false">IFERROR(F26*$B$5+(1-F26)*$B$7,"")</f>
        <v>0.1</v>
      </c>
    </row>
    <row r="27" customFormat="false" ht="15" hidden="false" customHeight="false" outlineLevel="0" collapsed="false">
      <c r="A27" s="5" t="s">
        <v>429</v>
      </c>
      <c r="B27" s="20" t="n">
        <v>0.2</v>
      </c>
      <c r="C27" s="9" t="s">
        <v>430</v>
      </c>
    </row>
    <row r="28" customFormat="false" ht="15" hidden="false" customHeight="false" outlineLevel="0" collapsed="false">
      <c r="A28" s="5" t="s">
        <v>431</v>
      </c>
      <c r="B28" s="26" t="n">
        <f aca="false">B6^2+B8^2-2*B9*B6*B8</f>
        <v>0.0925</v>
      </c>
      <c r="F28" s="44" t="s">
        <v>432</v>
      </c>
      <c r="G28" s="44"/>
      <c r="H28" s="44"/>
    </row>
    <row r="29" customFormat="false" ht="15" hidden="false" customHeight="false" outlineLevel="0" collapsed="false">
      <c r="A29" s="5" t="s">
        <v>433</v>
      </c>
      <c r="B29" s="26" t="n">
        <f aca="false">2*B9*B6*B8-2*B8^2</f>
        <v>-0.1925</v>
      </c>
    </row>
    <row r="30" customFormat="false" ht="15" hidden="false" customHeight="false" outlineLevel="0" collapsed="false">
      <c r="A30" s="5" t="s">
        <v>434</v>
      </c>
      <c r="B30" s="26" t="n">
        <f aca="false">B8^2-B27^2</f>
        <v>0.0825</v>
      </c>
    </row>
    <row r="31" customFormat="false" ht="15" hidden="false" customHeight="false" outlineLevel="0" collapsed="false">
      <c r="A31" s="5" t="s">
        <v>435</v>
      </c>
      <c r="B31" s="26" t="n">
        <f aca="false">B29^2-4*B28*B30</f>
        <v>0.00653125</v>
      </c>
      <c r="C31" s="9" t="s">
        <v>436</v>
      </c>
    </row>
    <row r="32" customFormat="false" ht="15" hidden="false" customHeight="false" outlineLevel="0" collapsed="false">
      <c r="A32" s="5" t="s">
        <v>437</v>
      </c>
      <c r="B32" s="21" t="n">
        <f aca="false">IFERROR(IF(B31&lt;0,"impossible",(-B29+SQRT(B31))/(2*B28)),"")</f>
        <v>1.47738459122283</v>
      </c>
    </row>
    <row r="33" customFormat="false" ht="15" hidden="false" customHeight="false" outlineLevel="0" collapsed="false">
      <c r="A33" s="5" t="s">
        <v>438</v>
      </c>
      <c r="B33" s="21" t="n">
        <f aca="false">IFERROR(IF(B31&lt;0,"impossible",(-B29-SQRT(B31))/(2*B28)),"")</f>
        <v>0.603696489858254</v>
      </c>
      <c r="C33" s="9" t="s">
        <v>439</v>
      </c>
    </row>
    <row r="34" customFormat="false" ht="15" hidden="false" customHeight="false" outlineLevel="0" collapsed="false">
      <c r="A34" s="5" t="s">
        <v>440</v>
      </c>
      <c r="B34" s="26" t="n">
        <f aca="false">IFERROR(B32*B5+(1-B32)*B7,"")</f>
        <v>0.0522615408777173</v>
      </c>
    </row>
    <row r="35" customFormat="false" ht="15" hidden="false" customHeight="false" outlineLevel="0" collapsed="false">
      <c r="A35" s="5" t="s">
        <v>441</v>
      </c>
      <c r="B35" s="26" t="n">
        <f aca="false">IFERROR(B33*B5+(1-B33)*B7,"")</f>
        <v>0.139630351014175</v>
      </c>
    </row>
    <row r="36" customFormat="false" ht="15" hidden="false" customHeight="false" outlineLevel="0" collapsed="false">
      <c r="A36" s="28" t="str">
        <f aca="false">IF(B31&lt;0,"That risk level cannot be reached with these two assets.",IF(AND(B32&gt;=0,B32&lt;=1),"USE w = "&amp;TEXT(B32,"0.0000")&amp;"  (valid, long-only).",IF(AND(B33&gt;=0,B33&lt;=1),"USE w = "&amp;TEXT(B33,"0.0000")&amp;"  (valid, long-only).","Neither root is in [0,1] - would need short selling.")))</f>
        <v>USE w = 0.6037  (valid, long-only).</v>
      </c>
      <c r="B36" s="28"/>
      <c r="C36" s="28"/>
      <c r="D36" s="28"/>
    </row>
    <row r="37" customFormat="false" ht="15" hidden="false" customHeight="false" outlineLevel="0" collapsed="false">
      <c r="A37" s="9" t="s">
        <v>442</v>
      </c>
    </row>
    <row r="39" customFormat="false" ht="19.5" hidden="false" customHeight="true" outlineLevel="0" collapsed="false">
      <c r="A39" s="3" t="s">
        <v>443</v>
      </c>
      <c r="B39" s="3"/>
      <c r="C39" s="3"/>
      <c r="D39" s="3"/>
    </row>
    <row r="40" customFormat="false" ht="15" hidden="false" customHeight="false" outlineLevel="0" collapsed="false">
      <c r="A40" s="5" t="s">
        <v>444</v>
      </c>
      <c r="B40" s="21" t="n">
        <f aca="false">IFERROR((B8^2-B9*B6*B8)/(B6^2+B8^2-2*B9*B6*B8),"")</f>
        <v>1.04054054054054</v>
      </c>
      <c r="C40" s="9" t="s">
        <v>76</v>
      </c>
    </row>
    <row r="41" customFormat="false" ht="15" hidden="false" customHeight="false" outlineLevel="0" collapsed="false">
      <c r="A41" s="5" t="s">
        <v>445</v>
      </c>
      <c r="B41" s="21" t="n">
        <f aca="false">IFERROR(1-B40,"")</f>
        <v>-0.0405405405405404</v>
      </c>
    </row>
    <row r="42" customFormat="false" ht="15" hidden="false" customHeight="false" outlineLevel="0" collapsed="false">
      <c r="A42" s="5" t="s">
        <v>446</v>
      </c>
      <c r="B42" s="21" t="n">
        <f aca="false">IFERROR(SQRT(B40^2*B6^2+(1-B40)^2*B8^2+2*B40*(1-B40)*B6*B8*B9),"")</f>
        <v>0.149492384331019</v>
      </c>
      <c r="C42" s="9" t="s">
        <v>447</v>
      </c>
    </row>
    <row r="43" customFormat="false" ht="15" hidden="false" customHeight="false" outlineLevel="0" collapsed="false">
      <c r="A43" s="5" t="s">
        <v>448</v>
      </c>
      <c r="B43" s="21" t="n">
        <f aca="false">IFERROR(B40*B5+(1-B40)*B7,"")</f>
        <v>0.095945945945946</v>
      </c>
    </row>
    <row r="44" customFormat="false" ht="15" hidden="false" customHeight="false" outlineLevel="0" collapsed="false">
      <c r="A44" s="5" t="s">
        <v>449</v>
      </c>
      <c r="B44" s="19" t="str">
        <f aca="false">IF(B42&lt;MIN(B6,B8),"YES - the portfolio effect. Diversification beats either asset alone.","No - with this correlation you cannot beat the safer asset.")</f>
        <v>YES - the portfolio effect. Diversification beats either asset alone.</v>
      </c>
      <c r="C44" s="19"/>
      <c r="D44" s="19"/>
    </row>
    <row r="45" customFormat="false" ht="15" hidden="false" customHeight="false" outlineLevel="0" collapsed="false">
      <c r="A45" s="9" t="s">
        <v>450</v>
      </c>
    </row>
  </sheetData>
  <mergeCells count="21">
    <mergeCell ref="A1:D1"/>
    <mergeCell ref="A2:D2"/>
    <mergeCell ref="A4:D4"/>
    <mergeCell ref="F4:H4"/>
    <mergeCell ref="J4:L4"/>
    <mergeCell ref="J6:L6"/>
    <mergeCell ref="J9:L9"/>
    <mergeCell ref="A11:D11"/>
    <mergeCell ref="J12:L12"/>
    <mergeCell ref="J15:L15"/>
    <mergeCell ref="A18:D18"/>
    <mergeCell ref="J19:L19"/>
    <mergeCell ref="J20:L20"/>
    <mergeCell ref="J21:L21"/>
    <mergeCell ref="J22:L22"/>
    <mergeCell ref="A23:D23"/>
    <mergeCell ref="A26:D26"/>
    <mergeCell ref="F28:H28"/>
    <mergeCell ref="A36:D36"/>
    <mergeCell ref="A39:D39"/>
    <mergeCell ref="B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38"/>
  </cols>
  <sheetData>
    <row r="1" customFormat="false" ht="30" hidden="false" customHeight="true" outlineLevel="0" collapsed="false">
      <c r="A1" s="1" t="s">
        <v>451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452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453</v>
      </c>
      <c r="B4" s="3"/>
      <c r="C4" s="3"/>
      <c r="E4" s="43" t="s">
        <v>454</v>
      </c>
      <c r="F4" s="43"/>
      <c r="G4" s="43"/>
    </row>
    <row r="5" customFormat="false" ht="15" hidden="false" customHeight="false" outlineLevel="0" collapsed="false">
      <c r="A5" s="5" t="s">
        <v>154</v>
      </c>
      <c r="B5" s="20" t="n">
        <v>80</v>
      </c>
      <c r="C5" s="9" t="s">
        <v>455</v>
      </c>
      <c r="E5" s="44" t="s">
        <v>456</v>
      </c>
      <c r="F5" s="44"/>
      <c r="G5" s="44"/>
    </row>
    <row r="6" customFormat="false" ht="15" hidden="false" customHeight="false" outlineLevel="0" collapsed="false">
      <c r="A6" s="5" t="s">
        <v>155</v>
      </c>
      <c r="B6" s="20" t="n">
        <v>10</v>
      </c>
      <c r="C6" s="9" t="s">
        <v>457</v>
      </c>
      <c r="E6" s="5" t="s">
        <v>458</v>
      </c>
      <c r="F6" s="20" t="n">
        <v>1.5</v>
      </c>
      <c r="G6" s="9"/>
    </row>
    <row r="7" customFormat="false" ht="15" hidden="false" customHeight="false" outlineLevel="0" collapsed="false">
      <c r="E7" s="5" t="s">
        <v>459</v>
      </c>
      <c r="F7" s="21" t="n">
        <f aca="false">IFERROR(NORMSDIST(F6),"")</f>
        <v>0.933192798731142</v>
      </c>
      <c r="G7" s="9" t="s">
        <v>58</v>
      </c>
    </row>
    <row r="8" customFormat="false" ht="19.5" hidden="false" customHeight="true" outlineLevel="0" collapsed="false">
      <c r="A8" s="3" t="s">
        <v>460</v>
      </c>
      <c r="B8" s="3"/>
      <c r="C8" s="3"/>
      <c r="E8" s="5" t="s">
        <v>461</v>
      </c>
      <c r="F8" s="21" t="n">
        <f aca="false">IFERROR(1-NORMSDIST(F6),"")</f>
        <v>0.0668072012688581</v>
      </c>
      <c r="G8" s="9"/>
    </row>
    <row r="9" customFormat="false" ht="15" hidden="false" customHeight="false" outlineLevel="0" collapsed="false">
      <c r="A9" s="5" t="s">
        <v>462</v>
      </c>
      <c r="B9" s="20" t="n">
        <v>90</v>
      </c>
    </row>
    <row r="10" customFormat="false" ht="15" hidden="false" customHeight="false" outlineLevel="0" collapsed="false">
      <c r="A10" s="5" t="s">
        <v>463</v>
      </c>
      <c r="B10" s="17" t="n">
        <f aca="false">IFERROR((B9-B5)/B6,"")</f>
        <v>1</v>
      </c>
      <c r="C10" s="9" t="s">
        <v>464</v>
      </c>
      <c r="E10" s="5" t="s">
        <v>465</v>
      </c>
      <c r="F10" s="40" t="n">
        <v>0.95</v>
      </c>
      <c r="G10" s="9"/>
    </row>
    <row r="11" customFormat="false" ht="15" hidden="false" customHeight="false" outlineLevel="0" collapsed="false">
      <c r="A11" s="5" t="s">
        <v>466</v>
      </c>
      <c r="B11" s="21" t="n">
        <f aca="false">IFERROR(NORMDIST(B9,B5,B6,TRUE()),"")</f>
        <v>0.841344746068543</v>
      </c>
      <c r="C11" s="9" t="s">
        <v>467</v>
      </c>
      <c r="E11" s="5" t="s">
        <v>468</v>
      </c>
      <c r="F11" s="18" t="n">
        <f aca="false">IFERROR(NORMSINV(F10),"")</f>
        <v>1.64485362695147</v>
      </c>
      <c r="G11" s="9" t="s">
        <v>469</v>
      </c>
    </row>
    <row r="12" customFormat="false" ht="15" hidden="false" customHeight="false" outlineLevel="0" collapsed="false">
      <c r="A12" s="5" t="s">
        <v>470</v>
      </c>
      <c r="B12" s="21" t="n">
        <f aca="false">IFERROR(1-NORMDIST(B9,B5,B6,TRUE()),"")</f>
        <v>0.158655253931457</v>
      </c>
      <c r="C12" s="9" t="s">
        <v>471</v>
      </c>
    </row>
    <row r="13" customFormat="false" ht="15" hidden="false" customHeight="false" outlineLevel="0" collapsed="false">
      <c r="A13" s="9" t="s">
        <v>472</v>
      </c>
      <c r="E13" s="29" t="s">
        <v>473</v>
      </c>
    </row>
    <row r="14" customFormat="false" ht="15" hidden="false" customHeight="false" outlineLevel="0" collapsed="false">
      <c r="E14" s="5" t="s">
        <v>474</v>
      </c>
      <c r="F14" s="55" t="n">
        <f aca="false">NORMSINV(0.9)</f>
        <v>1.2815515655446</v>
      </c>
    </row>
    <row r="15" customFormat="false" ht="15" hidden="false" customHeight="false" outlineLevel="0" collapsed="false">
      <c r="A15" s="5" t="s">
        <v>475</v>
      </c>
      <c r="B15" s="20" t="n">
        <v>75</v>
      </c>
      <c r="C15" s="9" t="s">
        <v>476</v>
      </c>
      <c r="E15" s="5" t="s">
        <v>477</v>
      </c>
      <c r="F15" s="55" t="n">
        <f aca="false">NORMSINV(0.95)</f>
        <v>1.64485362695147</v>
      </c>
    </row>
    <row r="16" customFormat="false" ht="15" hidden="false" customHeight="false" outlineLevel="0" collapsed="false">
      <c r="A16" s="5" t="s">
        <v>478</v>
      </c>
      <c r="B16" s="20" t="n">
        <v>90</v>
      </c>
      <c r="E16" s="5" t="s">
        <v>479</v>
      </c>
      <c r="F16" s="55" t="n">
        <f aca="false">NORMSINV(0.975)</f>
        <v>1.95996398454005</v>
      </c>
    </row>
    <row r="17" customFormat="false" ht="15" hidden="false" customHeight="false" outlineLevel="0" collapsed="false">
      <c r="A17" s="5" t="s">
        <v>480</v>
      </c>
      <c r="B17" s="21" t="n">
        <f aca="false">IFERROR(NORMDIST(B16,B5,B6,TRUE())-NORMDIST(B15,B5,B6,TRUE()),"")</f>
        <v>0.532807207342556</v>
      </c>
      <c r="C17" s="9" t="s">
        <v>481</v>
      </c>
      <c r="E17" s="5" t="s">
        <v>482</v>
      </c>
      <c r="F17" s="55" t="n">
        <f aca="false">NORMSINV(0.99)</f>
        <v>2.32634787404084</v>
      </c>
    </row>
    <row r="18" customFormat="false" ht="15" hidden="false" customHeight="false" outlineLevel="0" collapsed="false">
      <c r="A18" s="9" t="s">
        <v>483</v>
      </c>
      <c r="E18" s="5" t="s">
        <v>484</v>
      </c>
      <c r="F18" s="55" t="n">
        <f aca="false">NORMSINV(0.995)</f>
        <v>2.5758293035489</v>
      </c>
    </row>
    <row r="20" customFormat="false" ht="19.5" hidden="false" customHeight="true" outlineLevel="0" collapsed="false">
      <c r="A20" s="3" t="s">
        <v>485</v>
      </c>
      <c r="B20" s="3"/>
      <c r="C20" s="3"/>
    </row>
    <row r="21" customFormat="false" ht="15" hidden="false" customHeight="false" outlineLevel="0" collapsed="false">
      <c r="A21" s="5" t="s">
        <v>486</v>
      </c>
      <c r="B21" s="40" t="n">
        <v>0.9</v>
      </c>
    </row>
    <row r="22" customFormat="false" ht="15" hidden="false" customHeight="false" outlineLevel="0" collapsed="false">
      <c r="A22" s="5" t="s">
        <v>487</v>
      </c>
      <c r="B22" s="18" t="n">
        <f aca="false">IFERROR(NORMINV(B21,B5,B6),"")</f>
        <v>92.815515655446</v>
      </c>
      <c r="C22" s="9" t="s">
        <v>488</v>
      </c>
    </row>
    <row r="23" customFormat="false" ht="15" hidden="false" customHeight="false" outlineLevel="0" collapsed="false">
      <c r="A23" s="5" t="s">
        <v>489</v>
      </c>
      <c r="B23" s="40" t="n">
        <v>0.1</v>
      </c>
      <c r="C23" s="9" t="s">
        <v>490</v>
      </c>
    </row>
    <row r="24" customFormat="false" ht="15" hidden="false" customHeight="false" outlineLevel="0" collapsed="false">
      <c r="A24" s="5" t="s">
        <v>491</v>
      </c>
      <c r="B24" s="18" t="n">
        <f aca="false">IFERROR(NORMINV(1-B23,B5,B6),"")</f>
        <v>92.815515655446</v>
      </c>
      <c r="C24" s="9" t="s">
        <v>492</v>
      </c>
    </row>
    <row r="25" customFormat="false" ht="15" hidden="false" customHeight="false" outlineLevel="0" collapsed="false">
      <c r="A25" s="5" t="s">
        <v>493</v>
      </c>
      <c r="B25" s="40" t="n">
        <v>0.05</v>
      </c>
      <c r="C25" s="9" t="s">
        <v>494</v>
      </c>
    </row>
    <row r="26" customFormat="false" ht="15" hidden="false" customHeight="false" outlineLevel="0" collapsed="false">
      <c r="A26" s="5" t="s">
        <v>495</v>
      </c>
      <c r="B26" s="18" t="n">
        <f aca="false">IFERROR(NORMINV(B25,B5,B6),"")</f>
        <v>63.5514637304853</v>
      </c>
      <c r="C26" s="9" t="s">
        <v>496</v>
      </c>
    </row>
    <row r="27" customFormat="false" ht="15" hidden="false" customHeight="false" outlineLevel="0" collapsed="false">
      <c r="A27" s="9" t="s">
        <v>497</v>
      </c>
    </row>
    <row r="29" customFormat="false" ht="19.5" hidden="false" customHeight="true" outlineLevel="0" collapsed="false">
      <c r="A29" s="3" t="s">
        <v>498</v>
      </c>
      <c r="B29" s="3"/>
      <c r="C29" s="3"/>
    </row>
    <row r="30" customFormat="false" ht="15" hidden="false" customHeight="false" outlineLevel="0" collapsed="false">
      <c r="A30" s="5" t="s">
        <v>499</v>
      </c>
      <c r="B30" s="20" t="n">
        <v>2</v>
      </c>
    </row>
    <row r="31" customFormat="false" ht="15" hidden="false" customHeight="false" outlineLevel="0" collapsed="false">
      <c r="A31" s="5" t="s">
        <v>500</v>
      </c>
      <c r="B31" s="17" t="n">
        <f aca="false">B5-B30*B6</f>
        <v>60</v>
      </c>
    </row>
    <row r="32" customFormat="false" ht="15" hidden="false" customHeight="false" outlineLevel="0" collapsed="false">
      <c r="A32" s="5" t="s">
        <v>501</v>
      </c>
      <c r="B32" s="17" t="n">
        <f aca="false">B5+B30*B6</f>
        <v>100</v>
      </c>
    </row>
    <row r="33" customFormat="false" ht="15" hidden="false" customHeight="false" outlineLevel="0" collapsed="false">
      <c r="A33" s="5" t="s">
        <v>502</v>
      </c>
      <c r="B33" s="21" t="n">
        <f aca="false">IFERROR(NORMSDIST(B30)-NORMSDIST(-B30),"")</f>
        <v>0.954499736103642</v>
      </c>
      <c r="C33" s="9" t="s">
        <v>503</v>
      </c>
    </row>
    <row r="34" customFormat="false" ht="15" hidden="false" customHeight="false" outlineLevel="0" collapsed="false">
      <c r="A34" s="5" t="s">
        <v>504</v>
      </c>
      <c r="B34" s="26" t="n">
        <f aca="false">IFERROR(1-B33,"")</f>
        <v>0.0455002638963584</v>
      </c>
    </row>
  </sheetData>
  <mergeCells count="8">
    <mergeCell ref="A1:H1"/>
    <mergeCell ref="A2:H2"/>
    <mergeCell ref="A4:C4"/>
    <mergeCell ref="E4:G4"/>
    <mergeCell ref="E5:G5"/>
    <mergeCell ref="A8:C8"/>
    <mergeCell ref="A20:C20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54"/>
    <col collapsed="false" customWidth="true" hidden="false" outlineLevel="0" max="4" min="4" style="0" width="4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" t="s">
        <v>505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506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507</v>
      </c>
      <c r="B4" s="3"/>
      <c r="C4" s="3"/>
      <c r="E4" s="43" t="s">
        <v>508</v>
      </c>
      <c r="F4" s="43"/>
      <c r="G4" s="43"/>
    </row>
    <row r="5" customFormat="false" ht="15" hidden="false" customHeight="false" outlineLevel="0" collapsed="false">
      <c r="A5" s="5" t="s">
        <v>509</v>
      </c>
      <c r="B5" s="20" t="n">
        <v>1</v>
      </c>
      <c r="C5" s="9" t="s">
        <v>510</v>
      </c>
      <c r="E5" s="56" t="s">
        <v>511</v>
      </c>
      <c r="F5" s="56"/>
      <c r="G5" s="56"/>
    </row>
    <row r="6" customFormat="false" ht="15" hidden="false" customHeight="false" outlineLevel="0" collapsed="false">
      <c r="A6" s="5" t="s">
        <v>512</v>
      </c>
      <c r="B6" s="20" t="n">
        <v>1</v>
      </c>
      <c r="E6" s="56" t="s">
        <v>513</v>
      </c>
      <c r="F6" s="56"/>
      <c r="G6" s="56"/>
    </row>
    <row r="7" customFormat="false" ht="15" hidden="false" customHeight="false" outlineLevel="0" collapsed="false">
      <c r="A7" s="5" t="s">
        <v>353</v>
      </c>
      <c r="B7" s="20" t="n">
        <v>100</v>
      </c>
      <c r="C7" s="9" t="s">
        <v>514</v>
      </c>
      <c r="E7" s="56" t="s">
        <v>515</v>
      </c>
      <c r="F7" s="56"/>
      <c r="G7" s="56"/>
    </row>
    <row r="8" customFormat="false" ht="15" hidden="false" customHeight="false" outlineLevel="0" collapsed="false">
      <c r="A8" s="5" t="s">
        <v>335</v>
      </c>
      <c r="B8" s="20" t="n">
        <v>10</v>
      </c>
      <c r="E8" s="56" t="s">
        <v>516</v>
      </c>
      <c r="F8" s="56"/>
      <c r="G8" s="56"/>
    </row>
    <row r="9" customFormat="false" ht="15" hidden="false" customHeight="false" outlineLevel="0" collapsed="false">
      <c r="A9" s="5" t="s">
        <v>271</v>
      </c>
      <c r="B9" s="20" t="n">
        <v>150</v>
      </c>
      <c r="C9" s="9" t="s">
        <v>517</v>
      </c>
    </row>
    <row r="10" customFormat="false" ht="15" hidden="false" customHeight="false" outlineLevel="0" collapsed="false">
      <c r="A10" s="5" t="s">
        <v>275</v>
      </c>
      <c r="B10" s="20" t="n">
        <v>15</v>
      </c>
      <c r="E10" s="27" t="s">
        <v>518</v>
      </c>
      <c r="F10" s="21" t="str">
        <f aca="false">IF(AND(B5=1,B6=-1),1-NORMDIST(0,B12,B14,TRUE()),"set a=1, b=-1 and x=0")</f>
        <v>set a=1, b=-1 and x=0</v>
      </c>
    </row>
    <row r="11" customFormat="false" ht="15" hidden="false" customHeight="false" outlineLevel="0" collapsed="false">
      <c r="A11" s="5" t="s">
        <v>355</v>
      </c>
      <c r="B11" s="20" t="n">
        <v>0.8</v>
      </c>
      <c r="E11" s="44" t="s">
        <v>519</v>
      </c>
      <c r="F11" s="44"/>
      <c r="G11" s="44"/>
    </row>
    <row r="12" customFormat="false" ht="15" hidden="false" customHeight="false" outlineLevel="0" collapsed="false">
      <c r="A12" s="5" t="s">
        <v>520</v>
      </c>
      <c r="B12" s="21" t="n">
        <f aca="false">B5*B7+B6*B9</f>
        <v>250</v>
      </c>
      <c r="E12" s="44" t="s">
        <v>521</v>
      </c>
      <c r="F12" s="44"/>
      <c r="G12" s="44"/>
    </row>
    <row r="13" customFormat="false" ht="15" hidden="false" customHeight="false" outlineLevel="0" collapsed="false">
      <c r="A13" s="5" t="s">
        <v>522</v>
      </c>
      <c r="B13" s="26" t="n">
        <f aca="false">B5^2*B8^2+B6^2*B10^2+2*B5*B6*B8*B10*B11</f>
        <v>565</v>
      </c>
      <c r="C13" s="9" t="s">
        <v>412</v>
      </c>
    </row>
    <row r="14" customFormat="false" ht="15" hidden="false" customHeight="false" outlineLevel="0" collapsed="false">
      <c r="A14" s="5" t="s">
        <v>523</v>
      </c>
      <c r="B14" s="21" t="n">
        <f aca="false">IFERROR(SQRT(B13),"")</f>
        <v>23.7697286480094</v>
      </c>
      <c r="E14" s="29" t="s">
        <v>524</v>
      </c>
    </row>
    <row r="15" customFormat="false" ht="15" hidden="false" customHeight="false" outlineLevel="0" collapsed="false">
      <c r="A15" s="57" t="str">
        <f aca="false">IF(B14="","","So  aX + bY  ~  Normal( "&amp;TEXT(B12,"0.0000")&amp;" ,  "&amp;TEXT(B14,"0.0000")&amp;"^2 )")</f>
        <v>So  aX + bY  ~  Normal( 250.0000 ,  23.7697^2 )</v>
      </c>
      <c r="B15" s="57"/>
      <c r="C15" s="57"/>
      <c r="E15" s="58" t="s">
        <v>525</v>
      </c>
      <c r="F15" s="58"/>
      <c r="G15" s="58"/>
    </row>
    <row r="16" customFormat="false" ht="15" hidden="false" customHeight="false" outlineLevel="0" collapsed="false">
      <c r="A16" s="9" t="s">
        <v>526</v>
      </c>
      <c r="E16" s="58" t="s">
        <v>527</v>
      </c>
      <c r="F16" s="58"/>
      <c r="G16" s="58"/>
    </row>
    <row r="17" customFormat="false" ht="15" hidden="false" customHeight="false" outlineLevel="0" collapsed="false">
      <c r="E17" s="58" t="s">
        <v>528</v>
      </c>
      <c r="F17" s="58"/>
      <c r="G17" s="58"/>
    </row>
    <row r="18" customFormat="false" ht="19.5" hidden="false" customHeight="true" outlineLevel="0" collapsed="false">
      <c r="A18" s="3" t="s">
        <v>529</v>
      </c>
      <c r="B18" s="3"/>
      <c r="C18" s="3"/>
      <c r="E18" s="58" t="s">
        <v>530</v>
      </c>
      <c r="F18" s="58"/>
      <c r="G18" s="58"/>
    </row>
    <row r="19" customFormat="false" ht="15" hidden="false" customHeight="false" outlineLevel="0" collapsed="false">
      <c r="A19" s="5" t="s">
        <v>462</v>
      </c>
      <c r="B19" s="20" t="n">
        <v>0</v>
      </c>
      <c r="E19" s="58" t="s">
        <v>531</v>
      </c>
      <c r="F19" s="58"/>
      <c r="G19" s="58"/>
    </row>
    <row r="20" customFormat="false" ht="15" hidden="false" customHeight="false" outlineLevel="0" collapsed="false">
      <c r="A20" s="5" t="s">
        <v>532</v>
      </c>
      <c r="B20" s="17" t="n">
        <f aca="false">IFERROR((B19-B12)/B14,"")</f>
        <v>-10.5175790477918</v>
      </c>
      <c r="E20" s="58" t="s">
        <v>533</v>
      </c>
      <c r="F20" s="58"/>
      <c r="G20" s="58"/>
    </row>
    <row r="21" customFormat="false" ht="15" hidden="false" customHeight="false" outlineLevel="0" collapsed="false">
      <c r="A21" s="5" t="s">
        <v>534</v>
      </c>
      <c r="B21" s="21" t="n">
        <f aca="false">IFERROR(NORMDIST(B19,B12,B14,TRUE()),"")</f>
        <v>3.58460058942939E-026</v>
      </c>
    </row>
    <row r="22" customFormat="false" ht="15" hidden="false" customHeight="false" outlineLevel="0" collapsed="false">
      <c r="A22" s="5" t="s">
        <v>535</v>
      </c>
      <c r="B22" s="21" t="n">
        <f aca="false">IFERROR(1-NORMDIST(B19,B12,B14,TRUE()),"")</f>
        <v>1</v>
      </c>
    </row>
    <row r="23" customFormat="false" ht="15" hidden="false" customHeight="false" outlineLevel="0" collapsed="false">
      <c r="A23" s="5" t="s">
        <v>536</v>
      </c>
      <c r="B23" s="20" t="n">
        <v>240</v>
      </c>
    </row>
    <row r="24" customFormat="false" ht="15" hidden="false" customHeight="false" outlineLevel="0" collapsed="false">
      <c r="A24" s="5" t="s">
        <v>537</v>
      </c>
      <c r="B24" s="20" t="n">
        <v>260</v>
      </c>
    </row>
    <row r="25" customFormat="false" ht="15" hidden="false" customHeight="false" outlineLevel="0" collapsed="false">
      <c r="A25" s="5" t="s">
        <v>538</v>
      </c>
      <c r="B25" s="21" t="n">
        <f aca="false">IFERROR(NORMDIST(B24,B12,B14,TRUE())-NORMDIST(B23,B12,B14,TRUE()),"")</f>
        <v>0.326028148015243</v>
      </c>
    </row>
    <row r="27" customFormat="false" ht="19.5" hidden="false" customHeight="true" outlineLevel="0" collapsed="false">
      <c r="A27" s="3" t="s">
        <v>539</v>
      </c>
      <c r="B27" s="3"/>
      <c r="C27" s="3"/>
    </row>
    <row r="28" customFormat="false" ht="15" hidden="false" customHeight="false" outlineLevel="0" collapsed="false">
      <c r="A28" s="5" t="s">
        <v>540</v>
      </c>
      <c r="B28" s="40" t="n">
        <v>0.99</v>
      </c>
      <c r="C28" s="9" t="s">
        <v>541</v>
      </c>
    </row>
    <row r="29" customFormat="false" ht="15" hidden="false" customHeight="false" outlineLevel="0" collapsed="false">
      <c r="A29" s="5" t="s">
        <v>542</v>
      </c>
      <c r="B29" s="18" t="n">
        <f aca="false">IFERROR(NORMINV(B28,B12,B14),"")</f>
        <v>305.296657706824</v>
      </c>
      <c r="C29" s="9" t="s">
        <v>543</v>
      </c>
    </row>
    <row r="30" customFormat="false" ht="15" hidden="false" customHeight="false" outlineLevel="0" collapsed="false">
      <c r="A30" s="5" t="s">
        <v>544</v>
      </c>
      <c r="B30" s="59" t="n">
        <f aca="false">IFERROR(ROUNDUP(NORMINV(B28,B12,B14),0),"")</f>
        <v>306</v>
      </c>
      <c r="C30" s="9" t="s">
        <v>545</v>
      </c>
    </row>
    <row r="31" customFormat="false" ht="15" hidden="false" customHeight="false" outlineLevel="0" collapsed="false">
      <c r="A31" s="9" t="s">
        <v>546</v>
      </c>
    </row>
  </sheetData>
  <mergeCells count="19">
    <mergeCell ref="A1:H1"/>
    <mergeCell ref="A2:H2"/>
    <mergeCell ref="A4:C4"/>
    <mergeCell ref="E4:G4"/>
    <mergeCell ref="E5:G5"/>
    <mergeCell ref="E6:G6"/>
    <mergeCell ref="E7:G7"/>
    <mergeCell ref="E8:G8"/>
    <mergeCell ref="E11:G11"/>
    <mergeCell ref="E12:G12"/>
    <mergeCell ref="A15:C15"/>
    <mergeCell ref="E15:G15"/>
    <mergeCell ref="E16:G16"/>
    <mergeCell ref="E17:G17"/>
    <mergeCell ref="A18:C18"/>
    <mergeCell ref="E18:G18"/>
    <mergeCell ref="E19:G19"/>
    <mergeCell ref="E20:G20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4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" t="s">
        <v>547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548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340</v>
      </c>
      <c r="B4" s="3"/>
      <c r="C4" s="3"/>
      <c r="E4" s="43" t="s">
        <v>549</v>
      </c>
      <c r="F4" s="43"/>
      <c r="G4" s="43"/>
    </row>
    <row r="5" customFormat="false" ht="15" hidden="false" customHeight="false" outlineLevel="0" collapsed="false">
      <c r="A5" s="5" t="s">
        <v>550</v>
      </c>
      <c r="B5" s="20" t="n">
        <v>20</v>
      </c>
      <c r="C5" s="9" t="s">
        <v>551</v>
      </c>
      <c r="E5" s="44" t="s">
        <v>552</v>
      </c>
      <c r="F5" s="44"/>
      <c r="G5" s="44"/>
    </row>
    <row r="6" customFormat="false" ht="15" hidden="false" customHeight="false" outlineLevel="0" collapsed="false">
      <c r="A6" s="5" t="s">
        <v>335</v>
      </c>
      <c r="B6" s="20" t="n">
        <v>10</v>
      </c>
      <c r="E6" s="5" t="s">
        <v>553</v>
      </c>
      <c r="F6" s="40" t="n">
        <v>0.95</v>
      </c>
    </row>
    <row r="7" customFormat="false" ht="15" hidden="false" customHeight="false" outlineLevel="0" collapsed="false">
      <c r="A7" s="5" t="s">
        <v>554</v>
      </c>
      <c r="B7" s="20" t="n">
        <v>20</v>
      </c>
      <c r="E7" s="5" t="s">
        <v>555</v>
      </c>
      <c r="F7" s="17" t="n">
        <f aca="false">IFERROR(NORMSINV(F6),"")</f>
        <v>1.64485362695147</v>
      </c>
      <c r="G7" s="9" t="s">
        <v>556</v>
      </c>
    </row>
    <row r="8" customFormat="false" ht="15" hidden="false" customHeight="false" outlineLevel="0" collapsed="false">
      <c r="A8" s="5" t="s">
        <v>275</v>
      </c>
      <c r="B8" s="20" t="n">
        <v>10</v>
      </c>
      <c r="E8" s="5" t="s">
        <v>557</v>
      </c>
      <c r="F8" s="18" t="n">
        <f aca="false">IFERROR(NORMINV(F6,B5,B6),"")</f>
        <v>36.4485362695147</v>
      </c>
      <c r="G8" s="9"/>
    </row>
    <row r="9" customFormat="false" ht="15" hidden="false" customHeight="false" outlineLevel="0" collapsed="false">
      <c r="A9" s="5" t="s">
        <v>355</v>
      </c>
      <c r="B9" s="20" t="n">
        <v>0.2</v>
      </c>
      <c r="E9" s="5" t="s">
        <v>558</v>
      </c>
      <c r="F9" s="18" t="n">
        <f aca="false">IFERROR(NORMINV(F6,B7,B8),"")</f>
        <v>36.4485362695147</v>
      </c>
      <c r="G9" s="9"/>
    </row>
    <row r="10" customFormat="false" ht="15" hidden="false" customHeight="false" outlineLevel="0" collapsed="false">
      <c r="A10" s="5" t="s">
        <v>559</v>
      </c>
      <c r="B10" s="20" t="n">
        <v>3</v>
      </c>
      <c r="C10" s="9" t="s">
        <v>560</v>
      </c>
      <c r="E10" s="5" t="s">
        <v>561</v>
      </c>
      <c r="F10" s="18" t="n">
        <f aca="false">IFERROR(F8+F9,"")</f>
        <v>72.8970725390294</v>
      </c>
      <c r="G10" s="9"/>
    </row>
    <row r="11" customFormat="false" ht="15" hidden="false" customHeight="false" outlineLevel="0" collapsed="false">
      <c r="E11" s="5" t="s">
        <v>562</v>
      </c>
      <c r="F11" s="18" t="n">
        <f aca="false">IFERROR(NORMINV(F6,B18,B20),"")</f>
        <v>65.4819628165277</v>
      </c>
      <c r="G11" s="9"/>
    </row>
    <row r="12" customFormat="false" ht="19.5" hidden="false" customHeight="true" outlineLevel="0" collapsed="false">
      <c r="A12" s="3" t="s">
        <v>563</v>
      </c>
      <c r="B12" s="3"/>
      <c r="C12" s="3"/>
      <c r="E12" s="5" t="s">
        <v>564</v>
      </c>
      <c r="F12" s="18" t="n">
        <f aca="false">IFERROR(F10-F11,"")</f>
        <v>7.41510972250177</v>
      </c>
      <c r="G12" s="9"/>
    </row>
    <row r="13" customFormat="false" ht="15" hidden="false" customHeight="false" outlineLevel="0" collapsed="false">
      <c r="A13" s="5" t="s">
        <v>557</v>
      </c>
      <c r="B13" s="18" t="n">
        <f aca="false">B5+B10*B6</f>
        <v>50</v>
      </c>
      <c r="C13" s="9" t="s">
        <v>565</v>
      </c>
      <c r="E13" s="5" t="s">
        <v>566</v>
      </c>
      <c r="F13" s="59" t="n">
        <f aca="false">IFERROR(ROUNDUP(NORMINV(F6,B18,B20),0),"")</f>
        <v>66</v>
      </c>
      <c r="G13" s="9"/>
    </row>
    <row r="14" customFormat="false" ht="15" hidden="false" customHeight="false" outlineLevel="0" collapsed="false">
      <c r="A14" s="5" t="s">
        <v>558</v>
      </c>
      <c r="B14" s="18" t="n">
        <f aca="false">B7+B10*B8</f>
        <v>50</v>
      </c>
      <c r="C14" s="9" t="s">
        <v>565</v>
      </c>
    </row>
    <row r="15" customFormat="false" ht="15" hidden="false" customHeight="false" outlineLevel="0" collapsed="false">
      <c r="A15" s="5" t="s">
        <v>561</v>
      </c>
      <c r="B15" s="18" t="n">
        <f aca="false">B13+B14</f>
        <v>100</v>
      </c>
      <c r="E15" s="29" t="s">
        <v>567</v>
      </c>
    </row>
    <row r="16" customFormat="false" ht="15" hidden="false" customHeight="false" outlineLevel="0" collapsed="false">
      <c r="E16" s="58" t="s">
        <v>568</v>
      </c>
      <c r="F16" s="58"/>
      <c r="G16" s="58"/>
    </row>
    <row r="17" customFormat="false" ht="19.5" hidden="false" customHeight="true" outlineLevel="0" collapsed="false">
      <c r="A17" s="3" t="s">
        <v>569</v>
      </c>
      <c r="B17" s="3"/>
      <c r="C17" s="3"/>
      <c r="E17" s="58" t="s">
        <v>570</v>
      </c>
      <c r="F17" s="58"/>
      <c r="G17" s="58"/>
    </row>
    <row r="18" customFormat="false" ht="15" hidden="false" customHeight="false" outlineLevel="0" collapsed="false">
      <c r="A18" s="5" t="s">
        <v>571</v>
      </c>
      <c r="B18" s="17" t="n">
        <f aca="false">B5+B7</f>
        <v>40</v>
      </c>
      <c r="E18" s="58" t="s">
        <v>572</v>
      </c>
      <c r="F18" s="58"/>
      <c r="G18" s="58"/>
    </row>
    <row r="19" customFormat="false" ht="15" hidden="false" customHeight="false" outlineLevel="0" collapsed="false">
      <c r="A19" s="5" t="s">
        <v>573</v>
      </c>
      <c r="B19" s="26" t="n">
        <f aca="false">B6^2+B8^2+2*B6*B8*B9</f>
        <v>240</v>
      </c>
      <c r="C19" s="9" t="s">
        <v>574</v>
      </c>
      <c r="E19" s="58" t="s">
        <v>575</v>
      </c>
      <c r="F19" s="58"/>
      <c r="G19" s="58"/>
    </row>
    <row r="20" customFormat="false" ht="15" hidden="false" customHeight="false" outlineLevel="0" collapsed="false">
      <c r="A20" s="5" t="s">
        <v>576</v>
      </c>
      <c r="B20" s="21" t="n">
        <f aca="false">IFERROR(SQRT(B19),"")</f>
        <v>15.4919333848297</v>
      </c>
      <c r="C20" s="9" t="s">
        <v>577</v>
      </c>
    </row>
    <row r="21" customFormat="false" ht="15" hidden="false" customHeight="false" outlineLevel="0" collapsed="false">
      <c r="A21" s="5" t="s">
        <v>578</v>
      </c>
      <c r="B21" s="18" t="n">
        <f aca="false">IFERROR(B18+B10*B20,"")</f>
        <v>86.475800154489</v>
      </c>
      <c r="C21" s="9" t="s">
        <v>565</v>
      </c>
    </row>
    <row r="23" customFormat="false" ht="19.5" hidden="false" customHeight="true" outlineLevel="0" collapsed="false">
      <c r="A23" s="3" t="s">
        <v>579</v>
      </c>
      <c r="B23" s="3"/>
      <c r="C23" s="3"/>
    </row>
    <row r="24" customFormat="false" ht="15" hidden="false" customHeight="false" outlineLevel="0" collapsed="false">
      <c r="A24" s="5" t="s">
        <v>564</v>
      </c>
      <c r="B24" s="18" t="n">
        <f aca="false">B15-B21</f>
        <v>13.524199845511</v>
      </c>
    </row>
    <row r="25" customFormat="false" ht="15" hidden="false" customHeight="false" outlineLevel="0" collapsed="false">
      <c r="A25" s="5" t="s">
        <v>580</v>
      </c>
      <c r="B25" s="24" t="n">
        <f aca="false">IFERROR((B15-B21)/B15,"")</f>
        <v>0.13524199845511</v>
      </c>
    </row>
    <row r="26" customFormat="false" ht="15" hidden="false" customHeight="false" outlineLevel="0" collapsed="false">
      <c r="A26" s="5" t="s">
        <v>581</v>
      </c>
      <c r="B26" s="60" t="str">
        <f aca="false">ROUNDUP(B13,0)&amp;" + "&amp;ROUNDUP(B14,0)&amp;" = "&amp;(ROUNDUP(B13,0)+ROUNDUP(B14,0))</f>
        <v>50 + 50 = 100</v>
      </c>
      <c r="C26" s="9" t="s">
        <v>582</v>
      </c>
    </row>
    <row r="27" customFormat="false" ht="15" hidden="false" customHeight="false" outlineLevel="0" collapsed="false">
      <c r="A27" s="5" t="s">
        <v>583</v>
      </c>
      <c r="B27" s="59" t="n">
        <f aca="false">ROUNDUP(B21,0)</f>
        <v>87</v>
      </c>
      <c r="C27" s="9" t="s">
        <v>582</v>
      </c>
    </row>
    <row r="28" customFormat="false" ht="15" hidden="false" customHeight="false" outlineLevel="0" collapsed="false">
      <c r="A28" s="9" t="s">
        <v>584</v>
      </c>
    </row>
    <row r="29" customFormat="false" ht="15" hidden="false" customHeight="false" outlineLevel="0" collapsed="false">
      <c r="A29" s="9" t="s">
        <v>585</v>
      </c>
    </row>
  </sheetData>
  <mergeCells count="12">
    <mergeCell ref="A1:H1"/>
    <mergeCell ref="A2:H2"/>
    <mergeCell ref="A4:C4"/>
    <mergeCell ref="E4:G4"/>
    <mergeCell ref="E5:G5"/>
    <mergeCell ref="A12:C12"/>
    <mergeCell ref="E16:G16"/>
    <mergeCell ref="A17:C17"/>
    <mergeCell ref="E17:G17"/>
    <mergeCell ref="E18:G18"/>
    <mergeCell ref="E19:G19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1" min="1" style="0" width="10"/>
  </cols>
  <sheetData>
    <row r="1" customFormat="false" ht="30" hidden="false" customHeight="true" outlineLevel="0" collapsed="false">
      <c r="A1" s="1" t="s">
        <v>586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587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25" t="s">
        <v>458</v>
      </c>
      <c r="B4" s="61" t="n">
        <v>0</v>
      </c>
      <c r="C4" s="61" t="n">
        <v>0.01</v>
      </c>
      <c r="D4" s="61" t="n">
        <v>0.02</v>
      </c>
      <c r="E4" s="61" t="n">
        <v>0.03</v>
      </c>
      <c r="F4" s="61" t="n">
        <v>0.04</v>
      </c>
      <c r="G4" s="61" t="n">
        <v>0.05</v>
      </c>
      <c r="H4" s="61" t="n">
        <v>0.06</v>
      </c>
      <c r="I4" s="61" t="n">
        <v>0.07</v>
      </c>
      <c r="J4" s="61" t="n">
        <v>0.08</v>
      </c>
      <c r="K4" s="61" t="n">
        <v>0.09</v>
      </c>
    </row>
    <row r="5" customFormat="false" ht="15" hidden="false" customHeight="false" outlineLevel="0" collapsed="false">
      <c r="A5" s="62" t="n">
        <v>-3.4</v>
      </c>
      <c r="B5" s="63" t="n">
        <f aca="false">NORMSDIST($A5-B$4)</f>
        <v>0.000336929265676881</v>
      </c>
      <c r="C5" s="63" t="n">
        <f aca="false">NORMSDIST($A5-C$4)</f>
        <v>0.000324814397418878</v>
      </c>
      <c r="D5" s="63" t="n">
        <f aca="false">NORMSDIST($A5-D$4)</f>
        <v>0.0003131056785812</v>
      </c>
      <c r="E5" s="63" t="n">
        <f aca="false">NORMSDIST($A5-E$4)</f>
        <v>0.000301790624608637</v>
      </c>
      <c r="F5" s="63" t="n">
        <f aca="false">NORMSDIST($A5-F$4)</f>
        <v>0.000290857093290743</v>
      </c>
      <c r="G5" s="63" t="n">
        <f aca="false">NORMSDIST($A5-G$4)</f>
        <v>0.000280293276816177</v>
      </c>
      <c r="H5" s="63" t="n">
        <f aca="false">NORMSDIST($A5-H$4)</f>
        <v>0.000270087693963474</v>
      </c>
      <c r="I5" s="63" t="n">
        <f aca="false">NORMSDIST($A5-I$4)</f>
        <v>0.000260229182427467</v>
      </c>
      <c r="J5" s="63" t="n">
        <f aca="false">NORMSDIST($A5-J$4)</f>
        <v>0.000250706891280538</v>
      </c>
      <c r="K5" s="63" t="n">
        <f aca="false">NORMSDIST($A5-K$4)</f>
        <v>0.000241510273567836</v>
      </c>
    </row>
    <row r="6" customFormat="false" ht="15" hidden="false" customHeight="false" outlineLevel="0" collapsed="false">
      <c r="A6" s="62" t="n">
        <v>-3.3</v>
      </c>
      <c r="B6" s="63" t="n">
        <f aca="false">NORMSDIST($A6-B$4)</f>
        <v>0.000483424142383778</v>
      </c>
      <c r="C6" s="63" t="n">
        <f aca="false">NORMSDIST($A6-C$4)</f>
        <v>0.000466479856107549</v>
      </c>
      <c r="D6" s="63" t="n">
        <f aca="false">NORMSDIST($A6-D$4)</f>
        <v>0.000450087240592118</v>
      </c>
      <c r="E6" s="63" t="n">
        <f aca="false">NORMSDIST($A6-E$4)</f>
        <v>0.000434229920381656</v>
      </c>
      <c r="F6" s="63" t="n">
        <f aca="false">NORMSDIST($A6-F$4)</f>
        <v>0.00041889194945037</v>
      </c>
      <c r="G6" s="63" t="n">
        <f aca="false">NORMSDIST($A6-G$4)</f>
        <v>0.000404057801864022</v>
      </c>
      <c r="H6" s="63" t="n">
        <f aca="false">NORMSDIST($A6-H$4)</f>
        <v>0.000389712362582032</v>
      </c>
      <c r="I6" s="63" t="n">
        <f aca="false">NORMSDIST($A6-I$4)</f>
        <v>0.000375840918400084</v>
      </c>
      <c r="J6" s="63" t="n">
        <f aca="false">NORMSDIST($A6-J$4)</f>
        <v>0.000362429149033044</v>
      </c>
      <c r="K6" s="63" t="n">
        <f aca="false">NORMSDIST($A6-K$4)</f>
        <v>0.000349463118337972</v>
      </c>
    </row>
    <row r="7" customFormat="false" ht="15" hidden="false" customHeight="false" outlineLevel="0" collapsed="false">
      <c r="A7" s="62" t="n">
        <v>-3.2</v>
      </c>
      <c r="B7" s="63" t="n">
        <f aca="false">NORMSDIST($A7-B$4)</f>
        <v>0.000687137937915847</v>
      </c>
      <c r="C7" s="63" t="n">
        <f aca="false">NORMSDIST($A7-C$4)</f>
        <v>0.000663674861439967</v>
      </c>
      <c r="D7" s="63" t="n">
        <f aca="false">NORMSDIST($A7-D$4)</f>
        <v>0.000640952983660055</v>
      </c>
      <c r="E7" s="63" t="n">
        <f aca="false">NORMSDIST($A7-E$4)</f>
        <v>0.000618951090386834</v>
      </c>
      <c r="F7" s="63" t="n">
        <f aca="false">NORMSDIST($A7-F$4)</f>
        <v>0.000597648497934416</v>
      </c>
      <c r="G7" s="63" t="n">
        <f aca="false">NORMSDIST($A7-G$4)</f>
        <v>0.000577025042390766</v>
      </c>
      <c r="H7" s="63" t="n">
        <f aca="false">NORMSDIST($A7-H$4)</f>
        <v>0.000557061069024621</v>
      </c>
      <c r="I7" s="63" t="n">
        <f aca="false">NORMSDIST($A7-I$4)</f>
        <v>0.000537737421829695</v>
      </c>
      <c r="J7" s="63" t="n">
        <f aca="false">NORMSDIST($A7-J$4)</f>
        <v>0.000519035433206972</v>
      </c>
      <c r="K7" s="63" t="n">
        <f aca="false">NORMSDIST($A7-K$4)</f>
        <v>0.000500936913785722</v>
      </c>
    </row>
    <row r="8" customFormat="false" ht="15" hidden="false" customHeight="false" outlineLevel="0" collapsed="false">
      <c r="A8" s="62" t="n">
        <v>-3.1</v>
      </c>
      <c r="B8" s="63" t="n">
        <f aca="false">NORMSDIST($A8-B$4)</f>
        <v>0.000967603213218356</v>
      </c>
      <c r="C8" s="63" t="n">
        <f aca="false">NORMSDIST($A8-C$4)</f>
        <v>0.0009354367195141</v>
      </c>
      <c r="D8" s="63" t="n">
        <f aca="false">NORMSDIST($A8-D$4)</f>
        <v>0.000904255199822339</v>
      </c>
      <c r="E8" s="63" t="n">
        <f aca="false">NORMSDIST($A8-E$4)</f>
        <v>0.000874031515631567</v>
      </c>
      <c r="F8" s="63" t="n">
        <f aca="false">NORMSDIST($A8-F$4)</f>
        <v>0.000844739173458627</v>
      </c>
      <c r="G8" s="63" t="n">
        <f aca="false">NORMSDIST($A8-G$4)</f>
        <v>0.000816352312828562</v>
      </c>
      <c r="H8" s="63" t="n">
        <f aca="false">NORMSDIST($A8-H$4)</f>
        <v>0.000788845694375572</v>
      </c>
      <c r="I8" s="63" t="n">
        <f aca="false">NORMSDIST($A8-I$4)</f>
        <v>0.000762194688067235</v>
      </c>
      <c r="J8" s="63" t="n">
        <f aca="false">NORMSDIST($A8-J$4)</f>
        <v>0.00073637526155393</v>
      </c>
      <c r="K8" s="63" t="n">
        <f aca="false">NORMSDIST($A8-K$4)</f>
        <v>0.000711363968645364</v>
      </c>
    </row>
    <row r="9" customFormat="false" ht="15" hidden="false" customHeight="false" outlineLevel="0" collapsed="false">
      <c r="A9" s="62" t="n">
        <v>-3</v>
      </c>
      <c r="B9" s="63" t="n">
        <f aca="false">NORMSDIST($A9-B$4)</f>
        <v>0.00134989803163009</v>
      </c>
      <c r="C9" s="63" t="n">
        <f aca="false">NORMSDIST($A9-C$4)</f>
        <v>0.00130623844876947</v>
      </c>
      <c r="D9" s="63" t="n">
        <f aca="false">NORMSDIST($A9-D$4)</f>
        <v>0.0012638734276723</v>
      </c>
      <c r="E9" s="63" t="n">
        <f aca="false">NORMSDIST($A9-E$4)</f>
        <v>0.00122276869359226</v>
      </c>
      <c r="F9" s="63" t="n">
        <f aca="false">NORMSDIST($A9-F$4)</f>
        <v>0.0011828907431044</v>
      </c>
      <c r="G9" s="63" t="n">
        <f aca="false">NORMSDIST($A9-G$4)</f>
        <v>0.0011442068310227</v>
      </c>
      <c r="H9" s="63" t="n">
        <f aca="false">NORMSDIST($A9-H$4)</f>
        <v>0.00110668495740925</v>
      </c>
      <c r="I9" s="63" t="n">
        <f aca="false">NORMSDIST($A9-I$4)</f>
        <v>0.00107029385467892</v>
      </c>
      <c r="J9" s="63" t="n">
        <f aca="false">NORMSDIST($A9-J$4)</f>
        <v>0.00103500297480284</v>
      </c>
      <c r="K9" s="63" t="n">
        <f aca="false">NORMSDIST($A9-K$4)</f>
        <v>0.00100078247661401</v>
      </c>
    </row>
    <row r="10" customFormat="false" ht="15" hidden="false" customHeight="false" outlineLevel="0" collapsed="false">
      <c r="A10" s="62" t="n">
        <v>-2.9</v>
      </c>
      <c r="B10" s="63" t="n">
        <f aca="false">NORMSDIST($A10-B$4)</f>
        <v>0.00186581330038404</v>
      </c>
      <c r="C10" s="63" t="n">
        <f aca="false">NORMSDIST($A10-C$4)</f>
        <v>0.00180714378080643</v>
      </c>
      <c r="D10" s="63" t="n">
        <f aca="false">NORMSDIST($A10-D$4)</f>
        <v>0.0017501569286761</v>
      </c>
      <c r="E10" s="63" t="n">
        <f aca="false">NORMSDIST($A10-E$4)</f>
        <v>0.00169481001927726</v>
      </c>
      <c r="F10" s="63" t="n">
        <f aca="false">NORMSDIST($A10-F$4)</f>
        <v>0.001641061234157</v>
      </c>
      <c r="G10" s="63" t="n">
        <f aca="false">NORMSDIST($A10-G$4)</f>
        <v>0.00158886964736487</v>
      </c>
      <c r="H10" s="63" t="n">
        <f aca="false">NORMSDIST($A10-H$4)</f>
        <v>0.00153819521173806</v>
      </c>
      <c r="I10" s="63" t="n">
        <f aca="false">NORMSDIST($A10-I$4)</f>
        <v>0.00148899874523747</v>
      </c>
      <c r="J10" s="63" t="n">
        <f aca="false">NORMSDIST($A10-J$4)</f>
        <v>0.00144124191734001</v>
      </c>
      <c r="K10" s="63" t="n">
        <f aca="false">NORMSDIST($A10-K$4)</f>
        <v>0.00139488723549225</v>
      </c>
    </row>
    <row r="11" customFormat="false" ht="15" hidden="false" customHeight="false" outlineLevel="0" collapsed="false">
      <c r="A11" s="62" t="n">
        <v>-2.8</v>
      </c>
      <c r="B11" s="63" t="n">
        <f aca="false">NORMSDIST($A11-B$4)</f>
        <v>0.00255513033042793</v>
      </c>
      <c r="C11" s="63" t="n">
        <f aca="false">NORMSDIST($A11-C$4)</f>
        <v>0.00247707499878586</v>
      </c>
      <c r="D11" s="63" t="n">
        <f aca="false">NORMSDIST($A11-D$4)</f>
        <v>0.00240118247418925</v>
      </c>
      <c r="E11" s="63" t="n">
        <f aca="false">NORMSDIST($A11-E$4)</f>
        <v>0.00232740020673155</v>
      </c>
      <c r="F11" s="63" t="n">
        <f aca="false">NORMSDIST($A11-F$4)</f>
        <v>0.00225567669154232</v>
      </c>
      <c r="G11" s="63" t="n">
        <f aca="false">NORMSDIST($A11-G$4)</f>
        <v>0.00218596145491324</v>
      </c>
      <c r="H11" s="63" t="n">
        <f aca="false">NORMSDIST($A11-H$4)</f>
        <v>0.00211820504040462</v>
      </c>
      <c r="I11" s="63" t="n">
        <f aca="false">NORMSDIST($A11-I$4)</f>
        <v>0.00205235899493975</v>
      </c>
      <c r="J11" s="63" t="n">
        <f aca="false">NORMSDIST($A11-J$4)</f>
        <v>0.00198837585489433</v>
      </c>
      <c r="K11" s="63" t="n">
        <f aca="false">NORMSDIST($A11-K$4)</f>
        <v>0.00192620913218786</v>
      </c>
    </row>
    <row r="12" customFormat="false" ht="15" hidden="false" customHeight="false" outlineLevel="0" collapsed="false">
      <c r="A12" s="62" t="n">
        <v>-2.7</v>
      </c>
      <c r="B12" s="63" t="n">
        <f aca="false">NORMSDIST($A12-B$4)</f>
        <v>0.00346697380304067</v>
      </c>
      <c r="C12" s="63" t="n">
        <f aca="false">NORMSDIST($A12-C$4)</f>
        <v>0.00336416040666919</v>
      </c>
      <c r="D12" s="63" t="n">
        <f aca="false">NORMSDIST($A12-D$4)</f>
        <v>0.00326409581589131</v>
      </c>
      <c r="E12" s="63" t="n">
        <f aca="false">NORMSDIST($A12-E$4)</f>
        <v>0.00316671627735779</v>
      </c>
      <c r="F12" s="63" t="n">
        <f aca="false">NORMSDIST($A12-F$4)</f>
        <v>0.00307195921865049</v>
      </c>
      <c r="G12" s="63" t="n">
        <f aca="false">NORMSDIST($A12-G$4)</f>
        <v>0.00297976323505455</v>
      </c>
      <c r="H12" s="63" t="n">
        <f aca="false">NORMSDIST($A12-H$4)</f>
        <v>0.00289006807622614</v>
      </c>
      <c r="I12" s="63" t="n">
        <f aca="false">NORMSDIST($A12-I$4)</f>
        <v>0.00280281463276503</v>
      </c>
      <c r="J12" s="63" t="n">
        <f aca="false">NORMSDIST($A12-J$4)</f>
        <v>0.00271794492270126</v>
      </c>
      <c r="K12" s="63" t="n">
        <f aca="false">NORMSDIST($A12-K$4)</f>
        <v>0.00263540207790495</v>
      </c>
    </row>
    <row r="13" customFormat="false" ht="15" hidden="false" customHeight="false" outlineLevel="0" collapsed="false">
      <c r="A13" s="62" t="n">
        <v>-2.6</v>
      </c>
      <c r="B13" s="63" t="n">
        <f aca="false">NORMSDIST($A13-B$4)</f>
        <v>0.00466118802371875</v>
      </c>
      <c r="C13" s="63" t="n">
        <f aca="false">NORMSDIST($A13-C$4)</f>
        <v>0.00452711113296733</v>
      </c>
      <c r="D13" s="63" t="n">
        <f aca="false">NORMSDIST($A13-D$4)</f>
        <v>0.00439648834812131</v>
      </c>
      <c r="E13" s="63" t="n">
        <f aca="false">NORMSDIST($A13-E$4)</f>
        <v>0.00426924340908935</v>
      </c>
      <c r="F13" s="63" t="n">
        <f aca="false">NORMSDIST($A13-F$4)</f>
        <v>0.00414530136103604</v>
      </c>
      <c r="G13" s="63" t="n">
        <f aca="false">NORMSDIST($A13-G$4)</f>
        <v>0.00402458854275831</v>
      </c>
      <c r="H13" s="63" t="n">
        <f aca="false">NORMSDIST($A13-H$4)</f>
        <v>0.00390703257485277</v>
      </c>
      <c r="I13" s="63" t="n">
        <f aca="false">NORMSDIST($A13-I$4)</f>
        <v>0.00379256234768549</v>
      </c>
      <c r="J13" s="63" t="n">
        <f aca="false">NORMSDIST($A13-J$4)</f>
        <v>0.00368110800917498</v>
      </c>
      <c r="K13" s="63" t="n">
        <f aca="false">NORMSDIST($A13-K$4)</f>
        <v>0.00357260095239974</v>
      </c>
    </row>
    <row r="14" customFormat="false" ht="15" hidden="false" customHeight="false" outlineLevel="0" collapsed="false">
      <c r="A14" s="62" t="n">
        <v>-2.5</v>
      </c>
      <c r="B14" s="63" t="n">
        <f aca="false">NORMSDIST($A14-B$4)</f>
        <v>0.00620966532577613</v>
      </c>
      <c r="C14" s="63" t="n">
        <f aca="false">NORMSDIST($A14-C$4)</f>
        <v>0.00603655808041266</v>
      </c>
      <c r="D14" s="63" t="n">
        <f aca="false">NORMSDIST($A14-D$4)</f>
        <v>0.00586774171533256</v>
      </c>
      <c r="E14" s="63" t="n">
        <f aca="false">NORMSDIST($A14-E$4)</f>
        <v>0.0057031263329507</v>
      </c>
      <c r="F14" s="63" t="n">
        <f aca="false">NORMSDIST($A14-F$4)</f>
        <v>0.0055426234430826</v>
      </c>
      <c r="G14" s="63" t="n">
        <f aca="false">NORMSDIST($A14-G$4)</f>
        <v>0.00538614595406669</v>
      </c>
      <c r="H14" s="63" t="n">
        <f aca="false">NORMSDIST($A14-H$4)</f>
        <v>0.00523360816355578</v>
      </c>
      <c r="I14" s="63" t="n">
        <f aca="false">NORMSDIST($A14-I$4)</f>
        <v>0.00508492574899104</v>
      </c>
      <c r="J14" s="63" t="n">
        <f aca="false">NORMSDIST($A14-J$4)</f>
        <v>0.00494001575777064</v>
      </c>
      <c r="K14" s="63" t="n">
        <f aca="false">NORMSDIST($A14-K$4)</f>
        <v>0.00479879659712618</v>
      </c>
    </row>
    <row r="15" customFormat="false" ht="15" hidden="false" customHeight="false" outlineLevel="0" collapsed="false">
      <c r="A15" s="62" t="n">
        <v>-2.4</v>
      </c>
      <c r="B15" s="63" t="n">
        <f aca="false">NORMSDIST($A15-B$4)</f>
        <v>0.00819753592459613</v>
      </c>
      <c r="C15" s="63" t="n">
        <f aca="false">NORMSDIST($A15-C$4)</f>
        <v>0.00797626026073373</v>
      </c>
      <c r="D15" s="63" t="n">
        <f aca="false">NORMSDIST($A15-D$4)</f>
        <v>0.00776025355055364</v>
      </c>
      <c r="E15" s="63" t="n">
        <f aca="false">NORMSDIST($A15-E$4)</f>
        <v>0.00754941141630921</v>
      </c>
      <c r="F15" s="63" t="n">
        <f aca="false">NORMSDIST($A15-F$4)</f>
        <v>0.00734363095534834</v>
      </c>
      <c r="G15" s="63" t="n">
        <f aca="false">NORMSDIST($A15-G$4)</f>
        <v>0.00714281073527142</v>
      </c>
      <c r="H15" s="63" t="n">
        <f aca="false">NORMSDIST($A15-H$4)</f>
        <v>0.00694685078862431</v>
      </c>
      <c r="I15" s="63" t="n">
        <f aca="false">NORMSDIST($A15-I$4)</f>
        <v>0.00675565260714065</v>
      </c>
      <c r="J15" s="63" t="n">
        <f aca="false">NORMSDIST($A15-J$4)</f>
        <v>0.00656911913554676</v>
      </c>
      <c r="K15" s="63" t="n">
        <f aca="false">NORMSDIST($A15-K$4)</f>
        <v>0.00638715476494318</v>
      </c>
    </row>
    <row r="16" customFormat="false" ht="15" hidden="false" customHeight="false" outlineLevel="0" collapsed="false">
      <c r="A16" s="62" t="n">
        <v>-2.3</v>
      </c>
      <c r="B16" s="63" t="n">
        <f aca="false">NORMSDIST($A16-B$4)</f>
        <v>0.0107241100216758</v>
      </c>
      <c r="C16" s="63" t="n">
        <f aca="false">NORMSDIST($A16-C$4)</f>
        <v>0.0104440770619511</v>
      </c>
      <c r="D16" s="63" t="n">
        <f aca="false">NORMSDIST($A16-D$4)</f>
        <v>0.0101704386687197</v>
      </c>
      <c r="E16" s="63" t="n">
        <f aca="false">NORMSDIST($A16-E$4)</f>
        <v>0.00990307555916426</v>
      </c>
      <c r="F16" s="63" t="n">
        <f aca="false">NORMSDIST($A16-F$4)</f>
        <v>0.00964186994535833</v>
      </c>
      <c r="G16" s="63" t="n">
        <f aca="false">NORMSDIST($A16-G$4)</f>
        <v>0.00938670553483858</v>
      </c>
      <c r="H16" s="63" t="n">
        <f aca="false">NORMSDIST($A16-H$4)</f>
        <v>0.00913746753057267</v>
      </c>
      <c r="I16" s="63" t="n">
        <f aca="false">NORMSDIST($A16-I$4)</f>
        <v>0.00889404263033678</v>
      </c>
      <c r="J16" s="63" t="n">
        <f aca="false">NORMSDIST($A16-J$4)</f>
        <v>0.00865631902551654</v>
      </c>
      <c r="K16" s="63" t="n">
        <f aca="false">NORMSDIST($A16-K$4)</f>
        <v>0.0084241863993457</v>
      </c>
    </row>
    <row r="17" customFormat="false" ht="15" hidden="false" customHeight="false" outlineLevel="0" collapsed="false">
      <c r="A17" s="62" t="n">
        <v>-2.2</v>
      </c>
      <c r="B17" s="63" t="n">
        <f aca="false">NORMSDIST($A17-B$4)</f>
        <v>0.0139034475134986</v>
      </c>
      <c r="C17" s="63" t="n">
        <f aca="false">NORMSDIST($A17-C$4)</f>
        <v>0.01355258114642</v>
      </c>
      <c r="D17" s="63" t="n">
        <f aca="false">NORMSDIST($A17-D$4)</f>
        <v>0.0132093838072563</v>
      </c>
      <c r="E17" s="63" t="n">
        <f aca="false">NORMSDIST($A17-E$4)</f>
        <v>0.012873721438602</v>
      </c>
      <c r="F17" s="63" t="n">
        <f aca="false">NORMSDIST($A17-F$4)</f>
        <v>0.0125454614359466</v>
      </c>
      <c r="G17" s="63" t="n">
        <f aca="false">NORMSDIST($A17-G$4)</f>
        <v>0.0122244726550447</v>
      </c>
      <c r="H17" s="63" t="n">
        <f aca="false">NORMSDIST($A17-H$4)</f>
        <v>0.0119106254185471</v>
      </c>
      <c r="I17" s="63" t="n">
        <f aca="false">NORMSDIST($A17-I$4)</f>
        <v>0.0116037915219035</v>
      </c>
      <c r="J17" s="63" t="n">
        <f aca="false">NORMSDIST($A17-J$4)</f>
        <v>0.0113038442385528</v>
      </c>
      <c r="K17" s="63" t="n">
        <f aca="false">NORMSDIST($A17-K$4)</f>
        <v>0.0110106583244114</v>
      </c>
    </row>
    <row r="18" customFormat="false" ht="15" hidden="false" customHeight="false" outlineLevel="0" collapsed="false">
      <c r="A18" s="62" t="n">
        <v>-2.1</v>
      </c>
      <c r="B18" s="63" t="n">
        <f aca="false">NORMSDIST($A18-B$4)</f>
        <v>0.0178644205628166</v>
      </c>
      <c r="C18" s="63" t="n">
        <f aca="false">NORMSDIST($A18-C$4)</f>
        <v>0.0174291779376571</v>
      </c>
      <c r="D18" s="63" t="n">
        <f aca="false">NORMSDIST($A18-D$4)</f>
        <v>0.0170030226476328</v>
      </c>
      <c r="E18" s="63" t="n">
        <f aca="false">NORMSDIST($A18-E$4)</f>
        <v>0.016585806683605</v>
      </c>
      <c r="F18" s="63" t="n">
        <f aca="false">NORMSDIST($A18-F$4)</f>
        <v>0.0161773833721661</v>
      </c>
      <c r="G18" s="63" t="n">
        <f aca="false">NORMSDIST($A18-G$4)</f>
        <v>0.0157776073910905</v>
      </c>
      <c r="H18" s="63" t="n">
        <f aca="false">NORMSDIST($A18-H$4)</f>
        <v>0.0153863347839254</v>
      </c>
      <c r="I18" s="63" t="n">
        <f aca="false">NORMSDIST($A18-I$4)</f>
        <v>0.0150034229737322</v>
      </c>
      <c r="J18" s="63" t="n">
        <f aca="false">NORMSDIST($A18-J$4)</f>
        <v>0.0146287307759893</v>
      </c>
      <c r="K18" s="63" t="n">
        <f aca="false">NORMSDIST($A18-K$4)</f>
        <v>0.0142621184106689</v>
      </c>
    </row>
    <row r="19" customFormat="false" ht="15" hidden="false" customHeight="false" outlineLevel="0" collapsed="false">
      <c r="A19" s="62" t="n">
        <v>-2</v>
      </c>
      <c r="B19" s="63" t="n">
        <f aca="false">NORMSDIST($A19-B$4)</f>
        <v>0.0227501319481792</v>
      </c>
      <c r="C19" s="63" t="n">
        <f aca="false">NORMSDIST($A19-C$4)</f>
        <v>0.0222155944294315</v>
      </c>
      <c r="D19" s="63" t="n">
        <f aca="false">NORMSDIST($A19-D$4)</f>
        <v>0.0216916937676468</v>
      </c>
      <c r="E19" s="63" t="n">
        <f aca="false">NORMSDIST($A19-E$4)</f>
        <v>0.0211782696426723</v>
      </c>
      <c r="F19" s="63" t="n">
        <f aca="false">NORMSDIST($A19-F$4)</f>
        <v>0.02067516286607</v>
      </c>
      <c r="G19" s="63" t="n">
        <f aca="false">NORMSDIST($A19-G$4)</f>
        <v>0.0201822154057044</v>
      </c>
      <c r="H19" s="63" t="n">
        <f aca="false">NORMSDIST($A19-H$4)</f>
        <v>0.0196992704093769</v>
      </c>
      <c r="I19" s="63" t="n">
        <f aca="false">NORMSDIST($A19-I$4)</f>
        <v>0.0192261722275173</v>
      </c>
      <c r="J19" s="63" t="n">
        <f aca="false">NORMSDIST($A19-J$4)</f>
        <v>0.0187627664349378</v>
      </c>
      <c r="K19" s="63" t="n">
        <f aca="false">NORMSDIST($A19-K$4)</f>
        <v>0.018308899851659</v>
      </c>
    </row>
    <row r="20" customFormat="false" ht="15" hidden="false" customHeight="false" outlineLevel="0" collapsed="false">
      <c r="A20" s="62" t="n">
        <v>-1.9</v>
      </c>
      <c r="B20" s="63" t="n">
        <f aca="false">NORMSDIST($A20-B$4)</f>
        <v>0.0287165598160018</v>
      </c>
      <c r="C20" s="63" t="n">
        <f aca="false">NORMSDIST($A20-C$4)</f>
        <v>0.0280666066597725</v>
      </c>
      <c r="D20" s="63" t="n">
        <f aca="false">NORMSDIST($A20-D$4)</f>
        <v>0.0274289497038368</v>
      </c>
      <c r="E20" s="63" t="n">
        <f aca="false">NORMSDIST($A20-E$4)</f>
        <v>0.026803418877055</v>
      </c>
      <c r="F20" s="63" t="n">
        <f aca="false">NORMSDIST($A20-F$4)</f>
        <v>0.0261898449404527</v>
      </c>
      <c r="G20" s="63" t="n">
        <f aca="false">NORMSDIST($A20-G$4)</f>
        <v>0.0255880595216386</v>
      </c>
      <c r="H20" s="63" t="n">
        <f aca="false">NORMSDIST($A20-H$4)</f>
        <v>0.0249978951482204</v>
      </c>
      <c r="I20" s="63" t="n">
        <f aca="false">NORMSDIST($A20-I$4)</f>
        <v>0.0244191852802225</v>
      </c>
      <c r="J20" s="63" t="n">
        <f aca="false">NORMSDIST($A20-J$4)</f>
        <v>0.0238517643415085</v>
      </c>
      <c r="K20" s="63" t="n">
        <f aca="false">NORMSDIST($A20-K$4)</f>
        <v>0.0232954677502118</v>
      </c>
    </row>
    <row r="21" customFormat="false" ht="15" hidden="false" customHeight="false" outlineLevel="0" collapsed="false">
      <c r="A21" s="62" t="n">
        <v>-1.8</v>
      </c>
      <c r="B21" s="63" t="n">
        <f aca="false">NORMSDIST($A21-B$4)</f>
        <v>0.0359303191129258</v>
      </c>
      <c r="C21" s="63" t="n">
        <f aca="false">NORMSDIST($A21-C$4)</f>
        <v>0.0351478935840388</v>
      </c>
      <c r="D21" s="63" t="n">
        <f aca="false">NORMSDIST($A21-D$4)</f>
        <v>0.03437950244589</v>
      </c>
      <c r="E21" s="63" t="n">
        <f aca="false">NORMSDIST($A21-E$4)</f>
        <v>0.0336249694196283</v>
      </c>
      <c r="F21" s="63" t="n">
        <f aca="false">NORMSDIST($A21-F$4)</f>
        <v>0.0328841186591639</v>
      </c>
      <c r="G21" s="63" t="n">
        <f aca="false">NORMSDIST($A21-G$4)</f>
        <v>0.0321567747956137</v>
      </c>
      <c r="H21" s="63" t="n">
        <f aca="false">NORMSDIST($A21-H$4)</f>
        <v>0.0314427629807527</v>
      </c>
      <c r="I21" s="63" t="n">
        <f aca="false">NORMSDIST($A21-I$4)</f>
        <v>0.0307419089294659</v>
      </c>
      <c r="J21" s="63" t="n">
        <f aca="false">NORMSDIST($A21-J$4)</f>
        <v>0.0300540389611998</v>
      </c>
      <c r="K21" s="63" t="n">
        <f aca="false">NORMSDIST($A21-K$4)</f>
        <v>0.0293789800404094</v>
      </c>
    </row>
    <row r="22" customFormat="false" ht="15" hidden="false" customHeight="false" outlineLevel="0" collapsed="false">
      <c r="A22" s="62" t="n">
        <v>-1.7</v>
      </c>
      <c r="B22" s="63" t="n">
        <f aca="false">NORMSDIST($A22-B$4)</f>
        <v>0.044565462758543</v>
      </c>
      <c r="C22" s="63" t="n">
        <f aca="false">NORMSDIST($A22-C$4)</f>
        <v>0.0436329365240319</v>
      </c>
      <c r="D22" s="63" t="n">
        <f aca="false">NORMSDIST($A22-D$4)</f>
        <v>0.0427162207913289</v>
      </c>
      <c r="E22" s="63" t="n">
        <f aca="false">NORMSDIST($A22-E$4)</f>
        <v>0.0418151376135949</v>
      </c>
      <c r="F22" s="63" t="n">
        <f aca="false">NORMSDIST($A22-F$4)</f>
        <v>0.0409295089788074</v>
      </c>
      <c r="G22" s="63" t="n">
        <f aca="false">NORMSDIST($A22-G$4)</f>
        <v>0.0400591568638171</v>
      </c>
      <c r="H22" s="63" t="n">
        <f aca="false">NORMSDIST($A22-H$4)</f>
        <v>0.0392039032874827</v>
      </c>
      <c r="I22" s="63" t="n">
        <f aca="false">NORMSDIST($A22-I$4)</f>
        <v>0.0383635703628712</v>
      </c>
      <c r="J22" s="63" t="n">
        <f aca="false">NORMSDIST($A22-J$4)</f>
        <v>0.0375379803485168</v>
      </c>
      <c r="K22" s="63" t="n">
        <f aca="false">NORMSDIST($A22-K$4)</f>
        <v>0.0367269556987263</v>
      </c>
    </row>
    <row r="23" customFormat="false" ht="15" hidden="false" customHeight="false" outlineLevel="0" collapsed="false">
      <c r="A23" s="62" t="n">
        <v>-1.6</v>
      </c>
      <c r="B23" s="63" t="n">
        <f aca="false">NORMSDIST($A23-B$4)</f>
        <v>0.054799291699558</v>
      </c>
      <c r="C23" s="63" t="n">
        <f aca="false">NORMSDIST($A23-C$4)</f>
        <v>0.0536989281481197</v>
      </c>
      <c r="D23" s="63" t="n">
        <f aca="false">NORMSDIST($A23-D$4)</f>
        <v>0.052616138454252</v>
      </c>
      <c r="E23" s="63" t="n">
        <f aca="false">NORMSDIST($A23-E$4)</f>
        <v>0.0515507484900894</v>
      </c>
      <c r="F23" s="63" t="n">
        <f aca="false">NORMSDIST($A23-F$4)</f>
        <v>0.0505025834741037</v>
      </c>
      <c r="G23" s="63" t="n">
        <f aca="false">NORMSDIST($A23-G$4)</f>
        <v>0.0494714680336481</v>
      </c>
      <c r="H23" s="63" t="n">
        <f aca="false">NORMSDIST($A23-H$4)</f>
        <v>0.0484572262667228</v>
      </c>
      <c r="I23" s="63" t="n">
        <f aca="false">NORMSDIST($A23-I$4)</f>
        <v>0.0474596818029473</v>
      </c>
      <c r="J23" s="63" t="n">
        <f aca="false">NORMSDIST($A23-J$4)</f>
        <v>0.04647865786372</v>
      </c>
      <c r="K23" s="63" t="n">
        <f aca="false">NORMSDIST($A23-K$4)</f>
        <v>0.0455139773215498</v>
      </c>
    </row>
    <row r="24" customFormat="false" ht="15" hidden="false" customHeight="false" outlineLevel="0" collapsed="false">
      <c r="A24" s="62" t="n">
        <v>-1.5</v>
      </c>
      <c r="B24" s="63" t="n">
        <f aca="false">NORMSDIST($A24-B$4)</f>
        <v>0.066807201268858</v>
      </c>
      <c r="C24" s="63" t="n">
        <f aca="false">NORMSDIST($A24-C$4)</f>
        <v>0.0655217120889165</v>
      </c>
      <c r="D24" s="63" t="n">
        <f aca="false">NORMSDIST($A24-D$4)</f>
        <v>0.0642554878189358</v>
      </c>
      <c r="E24" s="63" t="n">
        <f aca="false">NORMSDIST($A24-E$4)</f>
        <v>0.0630083644639784</v>
      </c>
      <c r="F24" s="63" t="n">
        <f aca="false">NORMSDIST($A24-F$4)</f>
        <v>0.0617801767118119</v>
      </c>
      <c r="G24" s="63" t="n">
        <f aca="false">NORMSDIST($A24-G$4)</f>
        <v>0.060570758002059</v>
      </c>
      <c r="H24" s="63" t="n">
        <f aca="false">NORMSDIST($A24-H$4)</f>
        <v>0.059379940594793</v>
      </c>
      <c r="I24" s="63" t="n">
        <f aca="false">NORMSDIST($A24-I$4)</f>
        <v>0.058207555638553</v>
      </c>
      <c r="J24" s="63" t="n">
        <f aca="false">NORMSDIST($A24-J$4)</f>
        <v>0.0570534332377542</v>
      </c>
      <c r="K24" s="63" t="n">
        <f aca="false">NORMSDIST($A24-K$4)</f>
        <v>0.0559174025194694</v>
      </c>
    </row>
    <row r="25" customFormat="false" ht="15" hidden="false" customHeight="false" outlineLevel="0" collapsed="false">
      <c r="A25" s="62" t="n">
        <v>-1.4</v>
      </c>
      <c r="B25" s="63" t="n">
        <f aca="false">NORMSDIST($A25-B$4)</f>
        <v>0.080756659233771</v>
      </c>
      <c r="C25" s="63" t="n">
        <f aca="false">NORMSDIST($A25-C$4)</f>
        <v>0.0792698414533924</v>
      </c>
      <c r="D25" s="63" t="n">
        <f aca="false">NORMSDIST($A25-D$4)</f>
        <v>0.0778038405265464</v>
      </c>
      <c r="E25" s="63" t="n">
        <f aca="false">NORMSDIST($A25-E$4)</f>
        <v>0.0763585095367391</v>
      </c>
      <c r="F25" s="63" t="n">
        <f aca="false">NORMSDIST($A25-F$4)</f>
        <v>0.0749336995343271</v>
      </c>
      <c r="G25" s="63" t="n">
        <f aca="false">NORMSDIST($A25-G$4)</f>
        <v>0.0735292596096484</v>
      </c>
      <c r="H25" s="63" t="n">
        <f aca="false">NORMSDIST($A25-H$4)</f>
        <v>0.0721450369658938</v>
      </c>
      <c r="I25" s="63" t="n">
        <f aca="false">NORMSDIST($A25-I$4)</f>
        <v>0.0707808769916855</v>
      </c>
      <c r="J25" s="63" t="n">
        <f aca="false">NORMSDIST($A25-J$4)</f>
        <v>0.0694366233333317</v>
      </c>
      <c r="K25" s="63" t="n">
        <f aca="false">NORMSDIST($A25-K$4)</f>
        <v>0.0681121179667254</v>
      </c>
    </row>
    <row r="26" customFormat="false" ht="15" hidden="false" customHeight="false" outlineLevel="0" collapsed="false">
      <c r="A26" s="62" t="n">
        <v>-1.3</v>
      </c>
      <c r="B26" s="63" t="n">
        <f aca="false">NORMSDIST($A26-B$4)</f>
        <v>0.0968004845856103</v>
      </c>
      <c r="C26" s="63" t="n">
        <f aca="false">NORMSDIST($A26-C$4)</f>
        <v>0.095097917795239</v>
      </c>
      <c r="D26" s="63" t="n">
        <f aca="false">NORMSDIST($A26-D$4)</f>
        <v>0.0934175089934718</v>
      </c>
      <c r="E26" s="63" t="n">
        <f aca="false">NORMSDIST($A26-E$4)</f>
        <v>0.0917591356502808</v>
      </c>
      <c r="F26" s="63" t="n">
        <f aca="false">NORMSDIST($A26-F$4)</f>
        <v>0.0901226724644525</v>
      </c>
      <c r="G26" s="63" t="n">
        <f aca="false">NORMSDIST($A26-G$4)</f>
        <v>0.088507991437402</v>
      </c>
      <c r="H26" s="63" t="n">
        <f aca="false">NORMSDIST($A26-H$4)</f>
        <v>0.086914961947085</v>
      </c>
      <c r="I26" s="63" t="n">
        <f aca="false">NORMSDIST($A26-I$4)</f>
        <v>0.0853434508219669</v>
      </c>
      <c r="J26" s="63" t="n">
        <f aca="false">NORMSDIST($A26-J$4)</f>
        <v>0.0837933224150143</v>
      </c>
      <c r="K26" s="63" t="n">
        <f aca="false">NORMSDIST($A26-K$4)</f>
        <v>0.0822644386776689</v>
      </c>
    </row>
    <row r="27" customFormat="false" ht="15" hidden="false" customHeight="false" outlineLevel="0" collapsed="false">
      <c r="A27" s="62" t="n">
        <v>-1.2</v>
      </c>
      <c r="B27" s="63" t="n">
        <f aca="false">NORMSDIST($A27-B$4)</f>
        <v>0.115069670221708</v>
      </c>
      <c r="C27" s="63" t="n">
        <f aca="false">NORMSDIST($A27-C$4)</f>
        <v>0.113139446443977</v>
      </c>
      <c r="D27" s="63" t="n">
        <f aca="false">NORMSDIST($A27-D$4)</f>
        <v>0.111232437447835</v>
      </c>
      <c r="E27" s="63" t="n">
        <f aca="false">NORMSDIST($A27-E$4)</f>
        <v>0.109348552425692</v>
      </c>
      <c r="F27" s="63" t="n">
        <f aca="false">NORMSDIST($A27-F$4)</f>
        <v>0.107487697074587</v>
      </c>
      <c r="G27" s="63" t="n">
        <f aca="false">NORMSDIST($A27-G$4)</f>
        <v>0.105649773666855</v>
      </c>
      <c r="H27" s="63" t="n">
        <f aca="false">NORMSDIST($A27-H$4)</f>
        <v>0.1038346811213</v>
      </c>
      <c r="I27" s="63" t="n">
        <f aca="false">NORMSDIST($A27-I$4)</f>
        <v>0.102042315074819</v>
      </c>
      <c r="J27" s="63" t="n">
        <f aca="false">NORMSDIST($A27-J$4)</f>
        <v>0.100272567954442</v>
      </c>
      <c r="K27" s="63" t="n">
        <f aca="false">NORMSDIST($A27-K$4)</f>
        <v>0.0985253290497478</v>
      </c>
    </row>
    <row r="28" customFormat="false" ht="15" hidden="false" customHeight="false" outlineLevel="0" collapsed="false">
      <c r="A28" s="62" t="n">
        <v>-1.1</v>
      </c>
      <c r="B28" s="63" t="n">
        <f aca="false">NORMSDIST($A28-B$4)</f>
        <v>0.135666060946383</v>
      </c>
      <c r="C28" s="63" t="n">
        <f aca="false">NORMSDIST($A28-C$4)</f>
        <v>0.133499513242747</v>
      </c>
      <c r="D28" s="63" t="n">
        <f aca="false">NORMSDIST($A28-D$4)</f>
        <v>0.131356881042731</v>
      </c>
      <c r="E28" s="63" t="n">
        <f aca="false">NORMSDIST($A28-E$4)</f>
        <v>0.129238112240018</v>
      </c>
      <c r="F28" s="63" t="n">
        <f aca="false">NORMSDIST($A28-F$4)</f>
        <v>0.127143150562798</v>
      </c>
      <c r="G28" s="63" t="n">
        <f aca="false">NORMSDIST($A28-G$4)</f>
        <v>0.12507193563715</v>
      </c>
      <c r="H28" s="63" t="n">
        <f aca="false">NORMSDIST($A28-H$4)</f>
        <v>0.123024403051343</v>
      </c>
      <c r="I28" s="63" t="n">
        <f aca="false">NORMSDIST($A28-I$4)</f>
        <v>0.121000484421018</v>
      </c>
      <c r="J28" s="63" t="n">
        <f aca="false">NORMSDIST($A28-J$4)</f>
        <v>0.119000107455201</v>
      </c>
      <c r="K28" s="63" t="n">
        <f aca="false">NORMSDIST($A28-K$4)</f>
        <v>0.117023196023109</v>
      </c>
    </row>
    <row r="29" customFormat="false" ht="15" hidden="false" customHeight="false" outlineLevel="0" collapsed="false">
      <c r="A29" s="62" t="n">
        <v>-1</v>
      </c>
      <c r="B29" s="63" t="n">
        <f aca="false">NORMSDIST($A29-B$4)</f>
        <v>0.158655253931457</v>
      </c>
      <c r="C29" s="63" t="n">
        <f aca="false">NORMSDIST($A29-C$4)</f>
        <v>0.156247645021255</v>
      </c>
      <c r="D29" s="63" t="n">
        <f aca="false">NORMSDIST($A29-D$4)</f>
        <v>0.153864230372735</v>
      </c>
      <c r="E29" s="63" t="n">
        <f aca="false">NORMSDIST($A29-E$4)</f>
        <v>0.151505002788344</v>
      </c>
      <c r="F29" s="63" t="n">
        <f aca="false">NORMSDIST($A29-F$4)</f>
        <v>0.149169950330981</v>
      </c>
      <c r="G29" s="63" t="n">
        <f aca="false">NORMSDIST($A29-G$4)</f>
        <v>0.146859056375896</v>
      </c>
      <c r="H29" s="63" t="n">
        <f aca="false">NORMSDIST($A29-H$4)</f>
        <v>0.14457229966391</v>
      </c>
      <c r="I29" s="63" t="n">
        <f aca="false">NORMSDIST($A29-I$4)</f>
        <v>0.142309654355939</v>
      </c>
      <c r="J29" s="63" t="n">
        <f aca="false">NORMSDIST($A29-J$4)</f>
        <v>0.140071090088769</v>
      </c>
      <c r="K29" s="63" t="n">
        <f aca="false">NORMSDIST($A29-K$4)</f>
        <v>0.137856572032035</v>
      </c>
    </row>
    <row r="30" customFormat="false" ht="15" hidden="false" customHeight="false" outlineLevel="0" collapsed="false">
      <c r="A30" s="62" t="n">
        <v>-0.9</v>
      </c>
      <c r="B30" s="63" t="n">
        <f aca="false">NORMSDIST($A30-B$4)</f>
        <v>0.184060125346759</v>
      </c>
      <c r="C30" s="63" t="n">
        <f aca="false">NORMSDIST($A30-C$4)</f>
        <v>0.181411254891797</v>
      </c>
      <c r="D30" s="63" t="n">
        <f aca="false">NORMSDIST($A30-D$4)</f>
        <v>0.178786379614372</v>
      </c>
      <c r="E30" s="63" t="n">
        <f aca="false">NORMSDIST($A30-E$4)</f>
        <v>0.176185542245258</v>
      </c>
      <c r="F30" s="63" t="n">
        <f aca="false">NORMSDIST($A30-F$4)</f>
        <v>0.173608780338625</v>
      </c>
      <c r="G30" s="63" t="n">
        <f aca="false">NORMSDIST($A30-G$4)</f>
        <v>0.171056126308482</v>
      </c>
      <c r="H30" s="63" t="n">
        <f aca="false">NORMSDIST($A30-H$4)</f>
        <v>0.168527607466838</v>
      </c>
      <c r="I30" s="63" t="n">
        <f aca="false">NORMSDIST($A30-I$4)</f>
        <v>0.16602324606353</v>
      </c>
      <c r="J30" s="63" t="n">
        <f aca="false">NORMSDIST($A30-J$4)</f>
        <v>0.163543059327692</v>
      </c>
      <c r="K30" s="63" t="n">
        <f aca="false">NORMSDIST($A30-K$4)</f>
        <v>0.161087059510831</v>
      </c>
    </row>
    <row r="31" customFormat="false" ht="15" hidden="false" customHeight="false" outlineLevel="0" collapsed="false">
      <c r="A31" s="62" t="n">
        <v>-0.8</v>
      </c>
      <c r="B31" s="63" t="n">
        <f aca="false">NORMSDIST($A31-B$4)</f>
        <v>0.211855398583397</v>
      </c>
      <c r="C31" s="63" t="n">
        <f aca="false">NORMSDIST($A31-C$4)</f>
        <v>0.208970087871602</v>
      </c>
      <c r="D31" s="63" t="n">
        <f aca="false">NORMSDIST($A31-D$4)</f>
        <v>0.206108053585813</v>
      </c>
      <c r="E31" s="63" t="n">
        <f aca="false">NORMSDIST($A31-E$4)</f>
        <v>0.203269391828068</v>
      </c>
      <c r="F31" s="63" t="n">
        <f aca="false">NORMSDIST($A31-F$4)</f>
        <v>0.20045419326045</v>
      </c>
      <c r="G31" s="63" t="n">
        <f aca="false">NORMSDIST($A31-G$4)</f>
        <v>0.197662543122692</v>
      </c>
      <c r="H31" s="63" t="n">
        <f aca="false">NORMSDIST($A31-H$4)</f>
        <v>0.194894521251808</v>
      </c>
      <c r="I31" s="63" t="n">
        <f aca="false">NORMSDIST($A31-I$4)</f>
        <v>0.192150202103696</v>
      </c>
      <c r="J31" s="63" t="n">
        <f aca="false">NORMSDIST($A31-J$4)</f>
        <v>0.189429654776712</v>
      </c>
      <c r="K31" s="63" t="n">
        <f aca="false">NORMSDIST($A31-K$4)</f>
        <v>0.186732943037173</v>
      </c>
    </row>
    <row r="32" customFormat="false" ht="15" hidden="false" customHeight="false" outlineLevel="0" collapsed="false">
      <c r="A32" s="62" t="n">
        <v>-0.7</v>
      </c>
      <c r="B32" s="63" t="n">
        <f aca="false">NORMSDIST($A32-B$4)</f>
        <v>0.241963652223073</v>
      </c>
      <c r="C32" s="63" t="n">
        <f aca="false">NORMSDIST($A32-C$4)</f>
        <v>0.238852068089987</v>
      </c>
      <c r="D32" s="63" t="n">
        <f aca="false">NORMSDIST($A32-D$4)</f>
        <v>0.235762497779251</v>
      </c>
      <c r="E32" s="63" t="n">
        <f aca="false">NORMSDIST($A32-E$4)</f>
        <v>0.232695092300897</v>
      </c>
      <c r="F32" s="63" t="n">
        <f aca="false">NORMSDIST($A32-F$4)</f>
        <v>0.229649997164791</v>
      </c>
      <c r="G32" s="63" t="n">
        <f aca="false">NORMSDIST($A32-G$4)</f>
        <v>0.226627352376868</v>
      </c>
      <c r="H32" s="63" t="n">
        <f aca="false">NORMSDIST($A32-H$4)</f>
        <v>0.223627292437599</v>
      </c>
      <c r="I32" s="63" t="n">
        <f aca="false">NORMSDIST($A32-I$4)</f>
        <v>0.22064994634265</v>
      </c>
      <c r="J32" s="63" t="n">
        <f aca="false">NORMSDIST($A32-J$4)</f>
        <v>0.217695437585733</v>
      </c>
      <c r="K32" s="63" t="n">
        <f aca="false">NORMSDIST($A32-K$4)</f>
        <v>0.214763884163637</v>
      </c>
    </row>
    <row r="33" customFormat="false" ht="15" hidden="false" customHeight="false" outlineLevel="0" collapsed="false">
      <c r="A33" s="62" t="n">
        <v>-0.6</v>
      </c>
      <c r="B33" s="63" t="n">
        <f aca="false">NORMSDIST($A33-B$4)</f>
        <v>0.274253117750074</v>
      </c>
      <c r="C33" s="63" t="n">
        <f aca="false">NORMSDIST($A33-C$4)</f>
        <v>0.270930903783006</v>
      </c>
      <c r="D33" s="63" t="n">
        <f aca="false">NORMSDIST($A33-D$4)</f>
        <v>0.267628893468983</v>
      </c>
      <c r="E33" s="63" t="n">
        <f aca="false">NORMSDIST($A33-E$4)</f>
        <v>0.264347292115678</v>
      </c>
      <c r="F33" s="63" t="n">
        <f aca="false">NORMSDIST($A33-F$4)</f>
        <v>0.261086299692862</v>
      </c>
      <c r="G33" s="63" t="n">
        <f aca="false">NORMSDIST($A33-G$4)</f>
        <v>0.257846110805865</v>
      </c>
      <c r="H33" s="63" t="n">
        <f aca="false">NORMSDIST($A33-H$4)</f>
        <v>0.254626914671336</v>
      </c>
      <c r="I33" s="63" t="n">
        <f aca="false">NORMSDIST($A33-I$4)</f>
        <v>0.25142889509531</v>
      </c>
      <c r="J33" s="63" t="n">
        <f aca="false">NORMSDIST($A33-J$4)</f>
        <v>0.248252230453571</v>
      </c>
      <c r="K33" s="63" t="n">
        <f aca="false">NORMSDIST($A33-K$4)</f>
        <v>0.245097093674309</v>
      </c>
    </row>
    <row r="34" customFormat="false" ht="15" hidden="false" customHeight="false" outlineLevel="0" collapsed="false">
      <c r="A34" s="62" t="n">
        <v>-0.5</v>
      </c>
      <c r="B34" s="63" t="n">
        <f aca="false">NORMSDIST($A34-B$4)</f>
        <v>0.308537538725987</v>
      </c>
      <c r="C34" s="63" t="n">
        <f aca="false">NORMSDIST($A34-C$4)</f>
        <v>0.305025730897519</v>
      </c>
      <c r="D34" s="63" t="n">
        <f aca="false">NORMSDIST($A34-D$4)</f>
        <v>0.301531787546966</v>
      </c>
      <c r="E34" s="63" t="n">
        <f aca="false">NORMSDIST($A34-E$4)</f>
        <v>0.298055965394876</v>
      </c>
      <c r="F34" s="63" t="n">
        <f aca="false">NORMSDIST($A34-F$4)</f>
        <v>0.294598516215698</v>
      </c>
      <c r="G34" s="63" t="n">
        <f aca="false">NORMSDIST($A34-G$4)</f>
        <v>0.291159686788346</v>
      </c>
      <c r="H34" s="63" t="n">
        <f aca="false">NORMSDIST($A34-H$4)</f>
        <v>0.287739718849027</v>
      </c>
      <c r="I34" s="63" t="n">
        <f aca="false">NORMSDIST($A34-I$4)</f>
        <v>0.284338849046324</v>
      </c>
      <c r="J34" s="63" t="n">
        <f aca="false">NORMSDIST($A34-J$4)</f>
        <v>0.280957308898564</v>
      </c>
      <c r="K34" s="63" t="n">
        <f aca="false">NORMSDIST($A34-K$4)</f>
        <v>0.277595324753465</v>
      </c>
    </row>
    <row r="35" customFormat="false" ht="15" hidden="false" customHeight="false" outlineLevel="0" collapsed="false">
      <c r="A35" s="62" t="n">
        <v>-0.4</v>
      </c>
      <c r="B35" s="63" t="n">
        <f aca="false">NORMSDIST($A35-B$4)</f>
        <v>0.344578258389676</v>
      </c>
      <c r="C35" s="63" t="n">
        <f aca="false">NORMSDIST($A35-C$4)</f>
        <v>0.340902973772323</v>
      </c>
      <c r="D35" s="63" t="n">
        <f aca="false">NORMSDIST($A35-D$4)</f>
        <v>0.337242726848249</v>
      </c>
      <c r="E35" s="63" t="n">
        <f aca="false">NORMSDIST($A35-E$4)</f>
        <v>0.333597820595458</v>
      </c>
      <c r="F35" s="63" t="n">
        <f aca="false">NORMSDIST($A35-F$4)</f>
        <v>0.329968553660594</v>
      </c>
      <c r="G35" s="63" t="n">
        <f aca="false">NORMSDIST($A35-G$4)</f>
        <v>0.32635522028792</v>
      </c>
      <c r="H35" s="63" t="n">
        <f aca="false">NORMSDIST($A35-H$4)</f>
        <v>0.322758110250348</v>
      </c>
      <c r="I35" s="63" t="n">
        <f aca="false">NORMSDIST($A35-I$4)</f>
        <v>0.319177508782556</v>
      </c>
      <c r="J35" s="63" t="n">
        <f aca="false">NORMSDIST($A35-J$4)</f>
        <v>0.315613696516223</v>
      </c>
      <c r="K35" s="63" t="n">
        <f aca="false">NORMSDIST($A35-K$4)</f>
        <v>0.312066949417391</v>
      </c>
    </row>
    <row r="36" customFormat="false" ht="15" hidden="false" customHeight="false" outlineLevel="0" collapsed="false">
      <c r="A36" s="62" t="n">
        <v>-0.3</v>
      </c>
      <c r="B36" s="63" t="n">
        <f aca="false">NORMSDIST($A36-B$4)</f>
        <v>0.382088577811047</v>
      </c>
      <c r="C36" s="63" t="n">
        <f aca="false">NORMSDIST($A36-C$4)</f>
        <v>0.378280478177981</v>
      </c>
      <c r="D36" s="63" t="n">
        <f aca="false">NORMSDIST($A36-D$4)</f>
        <v>0.37448416527668</v>
      </c>
      <c r="E36" s="63" t="n">
        <f aca="false">NORMSDIST($A36-E$4)</f>
        <v>0.370699981059347</v>
      </c>
      <c r="F36" s="63" t="n">
        <f aca="false">NORMSDIST($A36-F$4)</f>
        <v>0.366928263963972</v>
      </c>
      <c r="G36" s="63" t="n">
        <f aca="false">NORMSDIST($A36-G$4)</f>
        <v>0.363169348824381</v>
      </c>
      <c r="H36" s="63" t="n">
        <f aca="false">NORMSDIST($A36-H$4)</f>
        <v>0.359423566782009</v>
      </c>
      <c r="I36" s="63" t="n">
        <f aca="false">NORMSDIST($A36-I$4)</f>
        <v>0.355691245199453</v>
      </c>
      <c r="J36" s="63" t="n">
        <f aca="false">NORMSDIST($A36-J$4)</f>
        <v>0.351972707575837</v>
      </c>
      <c r="K36" s="63" t="n">
        <f aca="false">NORMSDIST($A36-K$4)</f>
        <v>0.348268273464018</v>
      </c>
    </row>
    <row r="37" customFormat="false" ht="15" hidden="false" customHeight="false" outlineLevel="0" collapsed="false">
      <c r="A37" s="62" t="n">
        <v>-0.2</v>
      </c>
      <c r="B37" s="63" t="n">
        <f aca="false">NORMSDIST($A37-B$4)</f>
        <v>0.420740290560897</v>
      </c>
      <c r="C37" s="63" t="n">
        <f aca="false">NORMSDIST($A37-C$4)</f>
        <v>0.416833836517558</v>
      </c>
      <c r="D37" s="63" t="n">
        <f aca="false">NORMSDIST($A37-D$4)</f>
        <v>0.412935577351785</v>
      </c>
      <c r="E37" s="63" t="n">
        <f aca="false">NORMSDIST($A37-E$4)</f>
        <v>0.409045884857994</v>
      </c>
      <c r="F37" s="63" t="n">
        <f aca="false">NORMSDIST($A37-F$4)</f>
        <v>0.405165128302204</v>
      </c>
      <c r="G37" s="63" t="n">
        <f aca="false">NORMSDIST($A37-G$4)</f>
        <v>0.401293674317076</v>
      </c>
      <c r="H37" s="63" t="n">
        <f aca="false">NORMSDIST($A37-H$4)</f>
        <v>0.39743188679824</v>
      </c>
      <c r="I37" s="63" t="n">
        <f aca="false">NORMSDIST($A37-I$4)</f>
        <v>0.393580126801961</v>
      </c>
      <c r="J37" s="63" t="n">
        <f aca="false">NORMSDIST($A37-J$4)</f>
        <v>0.389738752444203</v>
      </c>
      <c r="K37" s="63" t="n">
        <f aca="false">NORMSDIST($A37-K$4)</f>
        <v>0.385908118801123</v>
      </c>
    </row>
    <row r="38" customFormat="false" ht="15" hidden="false" customHeight="false" outlineLevel="0" collapsed="false">
      <c r="A38" s="62" t="n">
        <v>-0.1</v>
      </c>
      <c r="B38" s="63" t="n">
        <f aca="false">NORMSDIST($A38-B$4)</f>
        <v>0.460172162722971</v>
      </c>
      <c r="C38" s="63" t="n">
        <f aca="false">NORMSDIST($A38-C$4)</f>
        <v>0.456204687457683</v>
      </c>
      <c r="D38" s="63" t="n">
        <f aca="false">NORMSDIST($A38-D$4)</f>
        <v>0.452241573979416</v>
      </c>
      <c r="E38" s="63" t="n">
        <f aca="false">NORMSDIST($A38-E$4)</f>
        <v>0.448283213345439</v>
      </c>
      <c r="F38" s="63" t="n">
        <f aca="false">NORMSDIST($A38-F$4)</f>
        <v>0.444329995194094</v>
      </c>
      <c r="G38" s="63" t="n">
        <f aca="false">NORMSDIST($A38-G$4)</f>
        <v>0.440382307629758</v>
      </c>
      <c r="H38" s="63" t="n">
        <f aca="false">NORMSDIST($A38-H$4)</f>
        <v>0.436440537108567</v>
      </c>
      <c r="I38" s="63" t="n">
        <f aca="false">NORMSDIST($A38-I$4)</f>
        <v>0.432505068324962</v>
      </c>
      <c r="J38" s="63" t="n">
        <f aca="false">NORMSDIST($A38-J$4)</f>
        <v>0.428576284099099</v>
      </c>
      <c r="K38" s="63" t="n">
        <f aca="false">NORMSDIST($A38-K$4)</f>
        <v>0.424654565265205</v>
      </c>
    </row>
    <row r="39" customFormat="false" ht="15" hidden="false" customHeight="false" outlineLevel="0" collapsed="false">
      <c r="A39" s="62" t="n">
        <v>0</v>
      </c>
      <c r="B39" s="64" t="n">
        <f aca="false">NORMSDIST($A39+B$4)</f>
        <v>0.5</v>
      </c>
      <c r="C39" s="63" t="n">
        <f aca="false">NORMSDIST($A39+C$4)</f>
        <v>0.503989356314632</v>
      </c>
      <c r="D39" s="63" t="n">
        <f aca="false">NORMSDIST($A39+D$4)</f>
        <v>0.507978313716902</v>
      </c>
      <c r="E39" s="63" t="n">
        <f aca="false">NORMSDIST($A39+E$4)</f>
        <v>0.511966473414113</v>
      </c>
      <c r="F39" s="63" t="n">
        <f aca="false">NORMSDIST($A39+F$4)</f>
        <v>0.515953436852831</v>
      </c>
      <c r="G39" s="63" t="n">
        <f aca="false">NORMSDIST($A39+G$4)</f>
        <v>0.519938805838373</v>
      </c>
      <c r="H39" s="63" t="n">
        <f aca="false">NORMSDIST($A39+H$4)</f>
        <v>0.523922182654107</v>
      </c>
      <c r="I39" s="63" t="n">
        <f aca="false">NORMSDIST($A39+I$4)</f>
        <v>0.527903170180521</v>
      </c>
      <c r="J39" s="63" t="n">
        <f aca="false">NORMSDIST($A39+J$4)</f>
        <v>0.531881372013987</v>
      </c>
      <c r="K39" s="63" t="n">
        <f aca="false">NORMSDIST($A39+K$4)</f>
        <v>0.535856392585172</v>
      </c>
    </row>
    <row r="40" customFormat="false" ht="15" hidden="false" customHeight="false" outlineLevel="0" collapsed="false">
      <c r="A40" s="62" t="n">
        <v>0.1</v>
      </c>
      <c r="B40" s="63" t="n">
        <f aca="false">NORMSDIST($A40+B$4)</f>
        <v>0.539827837277029</v>
      </c>
      <c r="C40" s="63" t="n">
        <f aca="false">NORMSDIST($A40+C$4)</f>
        <v>0.543795312542317</v>
      </c>
      <c r="D40" s="63" t="n">
        <f aca="false">NORMSDIST($A40+D$4)</f>
        <v>0.547758426020584</v>
      </c>
      <c r="E40" s="63" t="n">
        <f aca="false">NORMSDIST($A40+E$4)</f>
        <v>0.551716786654561</v>
      </c>
      <c r="F40" s="63" t="n">
        <f aca="false">NORMSDIST($A40+F$4)</f>
        <v>0.555670004805906</v>
      </c>
      <c r="G40" s="63" t="n">
        <f aca="false">NORMSDIST($A40+G$4)</f>
        <v>0.559617692370243</v>
      </c>
      <c r="H40" s="63" t="n">
        <f aca="false">NORMSDIST($A40+H$4)</f>
        <v>0.563559462891433</v>
      </c>
      <c r="I40" s="63" t="n">
        <f aca="false">NORMSDIST($A40+I$4)</f>
        <v>0.567494931675038</v>
      </c>
      <c r="J40" s="63" t="n">
        <f aca="false">NORMSDIST($A40+J$4)</f>
        <v>0.571423715900901</v>
      </c>
      <c r="K40" s="63" t="n">
        <f aca="false">NORMSDIST($A40+K$4)</f>
        <v>0.575345434734796</v>
      </c>
    </row>
    <row r="41" customFormat="false" ht="15" hidden="false" customHeight="false" outlineLevel="0" collapsed="false">
      <c r="A41" s="62" t="n">
        <v>0.2</v>
      </c>
      <c r="B41" s="63" t="n">
        <f aca="false">NORMSDIST($A41+B$4)</f>
        <v>0.579259709439103</v>
      </c>
      <c r="C41" s="63" t="n">
        <f aca="false">NORMSDIST($A41+C$4)</f>
        <v>0.583166163482442</v>
      </c>
      <c r="D41" s="63" t="n">
        <f aca="false">NORMSDIST($A41+D$4)</f>
        <v>0.587064422648215</v>
      </c>
      <c r="E41" s="63" t="n">
        <f aca="false">NORMSDIST($A41+E$4)</f>
        <v>0.590954115142006</v>
      </c>
      <c r="F41" s="63" t="n">
        <f aca="false">NORMSDIST($A41+F$4)</f>
        <v>0.594834871697796</v>
      </c>
      <c r="G41" s="63" t="n">
        <f aca="false">NORMSDIST($A41+G$4)</f>
        <v>0.598706325682924</v>
      </c>
      <c r="H41" s="63" t="n">
        <f aca="false">NORMSDIST($A41+H$4)</f>
        <v>0.602568113201761</v>
      </c>
      <c r="I41" s="63" t="n">
        <f aca="false">NORMSDIST($A41+I$4)</f>
        <v>0.60641987319804</v>
      </c>
      <c r="J41" s="63" t="n">
        <f aca="false">NORMSDIST($A41+J$4)</f>
        <v>0.610261247555797</v>
      </c>
      <c r="K41" s="63" t="n">
        <f aca="false">NORMSDIST($A41+K$4)</f>
        <v>0.614091881198877</v>
      </c>
    </row>
    <row r="42" customFormat="false" ht="15" hidden="false" customHeight="false" outlineLevel="0" collapsed="false">
      <c r="A42" s="62" t="n">
        <v>0.3</v>
      </c>
      <c r="B42" s="63" t="n">
        <f aca="false">NORMSDIST($A42+B$4)</f>
        <v>0.617911422188953</v>
      </c>
      <c r="C42" s="63" t="n">
        <f aca="false">NORMSDIST($A42+C$4)</f>
        <v>0.621719521822019</v>
      </c>
      <c r="D42" s="63" t="n">
        <f aca="false">NORMSDIST($A42+D$4)</f>
        <v>0.62551583472332</v>
      </c>
      <c r="E42" s="63" t="n">
        <f aca="false">NORMSDIST($A42+E$4)</f>
        <v>0.629300018940654</v>
      </c>
      <c r="F42" s="63" t="n">
        <f aca="false">NORMSDIST($A42+F$4)</f>
        <v>0.633071736036028</v>
      </c>
      <c r="G42" s="63" t="n">
        <f aca="false">NORMSDIST($A42+G$4)</f>
        <v>0.636830651175619</v>
      </c>
      <c r="H42" s="63" t="n">
        <f aca="false">NORMSDIST($A42+H$4)</f>
        <v>0.640576433217991</v>
      </c>
      <c r="I42" s="63" t="n">
        <f aca="false">NORMSDIST($A42+I$4)</f>
        <v>0.644308754800547</v>
      </c>
      <c r="J42" s="63" t="n">
        <f aca="false">NORMSDIST($A42+J$4)</f>
        <v>0.648027292424163</v>
      </c>
      <c r="K42" s="63" t="n">
        <f aca="false">NORMSDIST($A42+K$4)</f>
        <v>0.651731726535982</v>
      </c>
    </row>
    <row r="43" customFormat="false" ht="15" hidden="false" customHeight="false" outlineLevel="0" collapsed="false">
      <c r="A43" s="62" t="n">
        <v>0.4</v>
      </c>
      <c r="B43" s="63" t="n">
        <f aca="false">NORMSDIST($A43+B$4)</f>
        <v>0.655421741610324</v>
      </c>
      <c r="C43" s="63" t="n">
        <f aca="false">NORMSDIST($A43+C$4)</f>
        <v>0.659097026227677</v>
      </c>
      <c r="D43" s="63" t="n">
        <f aca="false">NORMSDIST($A43+D$4)</f>
        <v>0.662757273151751</v>
      </c>
      <c r="E43" s="63" t="n">
        <f aca="false">NORMSDIST($A43+E$4)</f>
        <v>0.666402179404542</v>
      </c>
      <c r="F43" s="63" t="n">
        <f aca="false">NORMSDIST($A43+F$4)</f>
        <v>0.670031446339406</v>
      </c>
      <c r="G43" s="63" t="n">
        <f aca="false">NORMSDIST($A43+G$4)</f>
        <v>0.67364477971208</v>
      </c>
      <c r="H43" s="63" t="n">
        <f aca="false">NORMSDIST($A43+H$4)</f>
        <v>0.677241889749652</v>
      </c>
      <c r="I43" s="63" t="n">
        <f aca="false">NORMSDIST($A43+I$4)</f>
        <v>0.680822491217444</v>
      </c>
      <c r="J43" s="63" t="n">
        <f aca="false">NORMSDIST($A43+J$4)</f>
        <v>0.684386303483777</v>
      </c>
      <c r="K43" s="63" t="n">
        <f aca="false">NORMSDIST($A43+K$4)</f>
        <v>0.68793305058261</v>
      </c>
    </row>
    <row r="44" customFormat="false" ht="15" hidden="false" customHeight="false" outlineLevel="0" collapsed="false">
      <c r="A44" s="62" t="n">
        <v>0.5</v>
      </c>
      <c r="B44" s="63" t="n">
        <f aca="false">NORMSDIST($A44+B$4)</f>
        <v>0.691462461274013</v>
      </c>
      <c r="C44" s="63" t="n">
        <f aca="false">NORMSDIST($A44+C$4)</f>
        <v>0.694974269102481</v>
      </c>
      <c r="D44" s="63" t="n">
        <f aca="false">NORMSDIST($A44+D$4)</f>
        <v>0.698468212453034</v>
      </c>
      <c r="E44" s="63" t="n">
        <f aca="false">NORMSDIST($A44+E$4)</f>
        <v>0.701944034605124</v>
      </c>
      <c r="F44" s="63" t="n">
        <f aca="false">NORMSDIST($A44+F$4)</f>
        <v>0.705401483784302</v>
      </c>
      <c r="G44" s="63" t="n">
        <f aca="false">NORMSDIST($A44+G$4)</f>
        <v>0.708840313211654</v>
      </c>
      <c r="H44" s="63" t="n">
        <f aca="false">NORMSDIST($A44+H$4)</f>
        <v>0.712260281150973</v>
      </c>
      <c r="I44" s="63" t="n">
        <f aca="false">NORMSDIST($A44+I$4)</f>
        <v>0.715661150953676</v>
      </c>
      <c r="J44" s="63" t="n">
        <f aca="false">NORMSDIST($A44+J$4)</f>
        <v>0.719042691101436</v>
      </c>
      <c r="K44" s="63" t="n">
        <f aca="false">NORMSDIST($A44+K$4)</f>
        <v>0.722404675246535</v>
      </c>
    </row>
    <row r="45" customFormat="false" ht="15" hidden="false" customHeight="false" outlineLevel="0" collapsed="false">
      <c r="A45" s="62" t="n">
        <v>0.6</v>
      </c>
      <c r="B45" s="63" t="n">
        <f aca="false">NORMSDIST($A45+B$4)</f>
        <v>0.725746882249927</v>
      </c>
      <c r="C45" s="63" t="n">
        <f aca="false">NORMSDIST($A45+C$4)</f>
        <v>0.729069096216994</v>
      </c>
      <c r="D45" s="63" t="n">
        <f aca="false">NORMSDIST($A45+D$4)</f>
        <v>0.732371106531017</v>
      </c>
      <c r="E45" s="63" t="n">
        <f aca="false">NORMSDIST($A45+E$4)</f>
        <v>0.735652707884323</v>
      </c>
      <c r="F45" s="63" t="n">
        <f aca="false">NORMSDIST($A45+F$4)</f>
        <v>0.738913700307138</v>
      </c>
      <c r="G45" s="63" t="n">
        <f aca="false">NORMSDIST($A45+G$4)</f>
        <v>0.742153889194135</v>
      </c>
      <c r="H45" s="63" t="n">
        <f aca="false">NORMSDIST($A45+H$4)</f>
        <v>0.745373085328664</v>
      </c>
      <c r="I45" s="63" t="n">
        <f aca="false">NORMSDIST($A45+I$4)</f>
        <v>0.74857110490469</v>
      </c>
      <c r="J45" s="63" t="n">
        <f aca="false">NORMSDIST($A45+J$4)</f>
        <v>0.751747769546429</v>
      </c>
      <c r="K45" s="63" t="n">
        <f aca="false">NORMSDIST($A45+K$4)</f>
        <v>0.754902906325691</v>
      </c>
    </row>
    <row r="46" customFormat="false" ht="15" hidden="false" customHeight="false" outlineLevel="0" collapsed="false">
      <c r="A46" s="62" t="n">
        <v>0.7</v>
      </c>
      <c r="B46" s="63" t="n">
        <f aca="false">NORMSDIST($A46+B$4)</f>
        <v>0.758036347776927</v>
      </c>
      <c r="C46" s="63" t="n">
        <f aca="false">NORMSDIST($A46+C$4)</f>
        <v>0.761147931910013</v>
      </c>
      <c r="D46" s="63" t="n">
        <f aca="false">NORMSDIST($A46+D$4)</f>
        <v>0.764237502220749</v>
      </c>
      <c r="E46" s="63" t="n">
        <f aca="false">NORMSDIST($A46+E$4)</f>
        <v>0.767304907699103</v>
      </c>
      <c r="F46" s="63" t="n">
        <f aca="false">NORMSDIST($A46+F$4)</f>
        <v>0.77035000283521</v>
      </c>
      <c r="G46" s="63" t="n">
        <f aca="false">NORMSDIST($A46+G$4)</f>
        <v>0.773372647623132</v>
      </c>
      <c r="H46" s="63" t="n">
        <f aca="false">NORMSDIST($A46+H$4)</f>
        <v>0.776372707562401</v>
      </c>
      <c r="I46" s="63" t="n">
        <f aca="false">NORMSDIST($A46+I$4)</f>
        <v>0.77935005365735</v>
      </c>
      <c r="J46" s="63" t="n">
        <f aca="false">NORMSDIST($A46+J$4)</f>
        <v>0.782304562414267</v>
      </c>
      <c r="K46" s="63" t="n">
        <f aca="false">NORMSDIST($A46+K$4)</f>
        <v>0.785236115836363</v>
      </c>
    </row>
    <row r="47" customFormat="false" ht="15" hidden="false" customHeight="false" outlineLevel="0" collapsed="false">
      <c r="A47" s="62" t="n">
        <v>0.8</v>
      </c>
      <c r="B47" s="63" t="n">
        <f aca="false">NORMSDIST($A47+B$4)</f>
        <v>0.788144601416603</v>
      </c>
      <c r="C47" s="63" t="n">
        <f aca="false">NORMSDIST($A47+C$4)</f>
        <v>0.791029912128398</v>
      </c>
      <c r="D47" s="63" t="n">
        <f aca="false">NORMSDIST($A47+D$4)</f>
        <v>0.793891946414187</v>
      </c>
      <c r="E47" s="63" t="n">
        <f aca="false">NORMSDIST($A47+E$4)</f>
        <v>0.796730608171932</v>
      </c>
      <c r="F47" s="63" t="n">
        <f aca="false">NORMSDIST($A47+F$4)</f>
        <v>0.79954580673955</v>
      </c>
      <c r="G47" s="63" t="n">
        <f aca="false">NORMSDIST($A47+G$4)</f>
        <v>0.802337456877308</v>
      </c>
      <c r="H47" s="63" t="n">
        <f aca="false">NORMSDIST($A47+H$4)</f>
        <v>0.805105478748192</v>
      </c>
      <c r="I47" s="63" t="n">
        <f aca="false">NORMSDIST($A47+I$4)</f>
        <v>0.807849797896304</v>
      </c>
      <c r="J47" s="63" t="n">
        <f aca="false">NORMSDIST($A47+J$4)</f>
        <v>0.810570345223288</v>
      </c>
      <c r="K47" s="63" t="n">
        <f aca="false">NORMSDIST($A47+K$4)</f>
        <v>0.813267056962827</v>
      </c>
    </row>
    <row r="48" customFormat="false" ht="15" hidden="false" customHeight="false" outlineLevel="0" collapsed="false">
      <c r="A48" s="62" t="n">
        <v>0.9</v>
      </c>
      <c r="B48" s="63" t="n">
        <f aca="false">NORMSDIST($A48+B$4)</f>
        <v>0.815939874653241</v>
      </c>
      <c r="C48" s="63" t="n">
        <f aca="false">NORMSDIST($A48+C$4)</f>
        <v>0.818588745108203</v>
      </c>
      <c r="D48" s="63" t="n">
        <f aca="false">NORMSDIST($A48+D$4)</f>
        <v>0.821213620385628</v>
      </c>
      <c r="E48" s="63" t="n">
        <f aca="false">NORMSDIST($A48+E$4)</f>
        <v>0.823814457754742</v>
      </c>
      <c r="F48" s="63" t="n">
        <f aca="false">NORMSDIST($A48+F$4)</f>
        <v>0.826391219661375</v>
      </c>
      <c r="G48" s="63" t="n">
        <f aca="false">NORMSDIST($A48+G$4)</f>
        <v>0.828943873691518</v>
      </c>
      <c r="H48" s="63" t="n">
        <f aca="false">NORMSDIST($A48+H$4)</f>
        <v>0.831472392533162</v>
      </c>
      <c r="I48" s="63" t="n">
        <f aca="false">NORMSDIST($A48+I$4)</f>
        <v>0.83397675393647</v>
      </c>
      <c r="J48" s="63" t="n">
        <f aca="false">NORMSDIST($A48+J$4)</f>
        <v>0.836456940672308</v>
      </c>
      <c r="K48" s="63" t="n">
        <f aca="false">NORMSDIST($A48+K$4)</f>
        <v>0.838912940489169</v>
      </c>
    </row>
    <row r="49" customFormat="false" ht="15" hidden="false" customHeight="false" outlineLevel="0" collapsed="false">
      <c r="A49" s="62" t="n">
        <v>1</v>
      </c>
      <c r="B49" s="63" t="n">
        <f aca="false">NORMSDIST($A49+B$4)</f>
        <v>0.841344746068543</v>
      </c>
      <c r="C49" s="63" t="n">
        <f aca="false">NORMSDIST($A49+C$4)</f>
        <v>0.843752354978745</v>
      </c>
      <c r="D49" s="63" t="n">
        <f aca="false">NORMSDIST($A49+D$4)</f>
        <v>0.846135769627265</v>
      </c>
      <c r="E49" s="63" t="n">
        <f aca="false">NORMSDIST($A49+E$4)</f>
        <v>0.848494997211656</v>
      </c>
      <c r="F49" s="63" t="n">
        <f aca="false">NORMSDIST($A49+F$4)</f>
        <v>0.850830049669019</v>
      </c>
      <c r="G49" s="63" t="n">
        <f aca="false">NORMSDIST($A49+G$4)</f>
        <v>0.853140943624104</v>
      </c>
      <c r="H49" s="63" t="n">
        <f aca="false">NORMSDIST($A49+H$4)</f>
        <v>0.85542770033609</v>
      </c>
      <c r="I49" s="63" t="n">
        <f aca="false">NORMSDIST($A49+I$4)</f>
        <v>0.857690345644061</v>
      </c>
      <c r="J49" s="63" t="n">
        <f aca="false">NORMSDIST($A49+J$4)</f>
        <v>0.859928909911231</v>
      </c>
      <c r="K49" s="63" t="n">
        <f aca="false">NORMSDIST($A49+K$4)</f>
        <v>0.862143427967965</v>
      </c>
    </row>
    <row r="50" customFormat="false" ht="15" hidden="false" customHeight="false" outlineLevel="0" collapsed="false">
      <c r="A50" s="62" t="n">
        <v>1.1</v>
      </c>
      <c r="B50" s="63" t="n">
        <f aca="false">NORMSDIST($A50+B$4)</f>
        <v>0.864333939053617</v>
      </c>
      <c r="C50" s="63" t="n">
        <f aca="false">NORMSDIST($A50+C$4)</f>
        <v>0.866500486757253</v>
      </c>
      <c r="D50" s="63" t="n">
        <f aca="false">NORMSDIST($A50+D$4)</f>
        <v>0.868643118957269</v>
      </c>
      <c r="E50" s="63" t="n">
        <f aca="false">NORMSDIST($A50+E$4)</f>
        <v>0.870761887759982</v>
      </c>
      <c r="F50" s="63" t="n">
        <f aca="false">NORMSDIST($A50+F$4)</f>
        <v>0.872856849437202</v>
      </c>
      <c r="G50" s="63" t="n">
        <f aca="false">NORMSDIST($A50+G$4)</f>
        <v>0.87492806436285</v>
      </c>
      <c r="H50" s="63" t="n">
        <f aca="false">NORMSDIST($A50+H$4)</f>
        <v>0.876975596948657</v>
      </c>
      <c r="I50" s="63" t="n">
        <f aca="false">NORMSDIST($A50+I$4)</f>
        <v>0.878999515578982</v>
      </c>
      <c r="J50" s="63" t="n">
        <f aca="false">NORMSDIST($A50+J$4)</f>
        <v>0.880999892544799</v>
      </c>
      <c r="K50" s="63" t="n">
        <f aca="false">NORMSDIST($A50+K$4)</f>
        <v>0.882976803976891</v>
      </c>
    </row>
    <row r="51" customFormat="false" ht="15" hidden="false" customHeight="false" outlineLevel="0" collapsed="false">
      <c r="A51" s="62" t="n">
        <v>1.2</v>
      </c>
      <c r="B51" s="63" t="n">
        <f aca="false">NORMSDIST($A51+B$4)</f>
        <v>0.884930329778292</v>
      </c>
      <c r="C51" s="63" t="n">
        <f aca="false">NORMSDIST($A51+C$4)</f>
        <v>0.886860553556023</v>
      </c>
      <c r="D51" s="63" t="n">
        <f aca="false">NORMSDIST($A51+D$4)</f>
        <v>0.888767562552165</v>
      </c>
      <c r="E51" s="63" t="n">
        <f aca="false">NORMSDIST($A51+E$4)</f>
        <v>0.890651447574308</v>
      </c>
      <c r="F51" s="63" t="n">
        <f aca="false">NORMSDIST($A51+F$4)</f>
        <v>0.892512302925413</v>
      </c>
      <c r="G51" s="63" t="n">
        <f aca="false">NORMSDIST($A51+G$4)</f>
        <v>0.894350226333145</v>
      </c>
      <c r="H51" s="63" t="n">
        <f aca="false">NORMSDIST($A51+H$4)</f>
        <v>0.8961653188787</v>
      </c>
      <c r="I51" s="63" t="n">
        <f aca="false">NORMSDIST($A51+I$4)</f>
        <v>0.897957684925181</v>
      </c>
      <c r="J51" s="63" t="n">
        <f aca="false">NORMSDIST($A51+J$4)</f>
        <v>0.899727432045558</v>
      </c>
      <c r="K51" s="63" t="n">
        <f aca="false">NORMSDIST($A51+K$4)</f>
        <v>0.901474670950252</v>
      </c>
    </row>
    <row r="52" customFormat="false" ht="15" hidden="false" customHeight="false" outlineLevel="0" collapsed="false">
      <c r="A52" s="62" t="n">
        <v>1.3</v>
      </c>
      <c r="B52" s="63" t="n">
        <f aca="false">NORMSDIST($A52+B$4)</f>
        <v>0.90319951541439</v>
      </c>
      <c r="C52" s="63" t="n">
        <f aca="false">NORMSDIST($A52+C$4)</f>
        <v>0.904902082204761</v>
      </c>
      <c r="D52" s="63" t="n">
        <f aca="false">NORMSDIST($A52+D$4)</f>
        <v>0.906582491006528</v>
      </c>
      <c r="E52" s="63" t="n">
        <f aca="false">NORMSDIST($A52+E$4)</f>
        <v>0.908240864349719</v>
      </c>
      <c r="F52" s="63" t="n">
        <f aca="false">NORMSDIST($A52+F$4)</f>
        <v>0.909877327535548</v>
      </c>
      <c r="G52" s="63" t="n">
        <f aca="false">NORMSDIST($A52+G$4)</f>
        <v>0.911492008562598</v>
      </c>
      <c r="H52" s="63" t="n">
        <f aca="false">NORMSDIST($A52+H$4)</f>
        <v>0.913085038052915</v>
      </c>
      <c r="I52" s="63" t="n">
        <f aca="false">NORMSDIST($A52+I$4)</f>
        <v>0.914656549178033</v>
      </c>
      <c r="J52" s="63" t="n">
        <f aca="false">NORMSDIST($A52+J$4)</f>
        <v>0.916206677584986</v>
      </c>
      <c r="K52" s="63" t="n">
        <f aca="false">NORMSDIST($A52+K$4)</f>
        <v>0.917735561322331</v>
      </c>
    </row>
    <row r="53" customFormat="false" ht="15" hidden="false" customHeight="false" outlineLevel="0" collapsed="false">
      <c r="A53" s="62" t="n">
        <v>1.4</v>
      </c>
      <c r="B53" s="63" t="n">
        <f aca="false">NORMSDIST($A53+B$4)</f>
        <v>0.919243340766229</v>
      </c>
      <c r="C53" s="63" t="n">
        <f aca="false">NORMSDIST($A53+C$4)</f>
        <v>0.920730158546608</v>
      </c>
      <c r="D53" s="63" t="n">
        <f aca="false">NORMSDIST($A53+D$4)</f>
        <v>0.922196159473454</v>
      </c>
      <c r="E53" s="63" t="n">
        <f aca="false">NORMSDIST($A53+E$4)</f>
        <v>0.923641490463261</v>
      </c>
      <c r="F53" s="63" t="n">
        <f aca="false">NORMSDIST($A53+F$4)</f>
        <v>0.925066300465673</v>
      </c>
      <c r="G53" s="63" t="n">
        <f aca="false">NORMSDIST($A53+G$4)</f>
        <v>0.926470740390352</v>
      </c>
      <c r="H53" s="63" t="n">
        <f aca="false">NORMSDIST($A53+H$4)</f>
        <v>0.927854963034106</v>
      </c>
      <c r="I53" s="63" t="n">
        <f aca="false">NORMSDIST($A53+I$4)</f>
        <v>0.929219123008314</v>
      </c>
      <c r="J53" s="63" t="n">
        <f aca="false">NORMSDIST($A53+J$4)</f>
        <v>0.930563376666668</v>
      </c>
      <c r="K53" s="63" t="n">
        <f aca="false">NORMSDIST($A53+K$4)</f>
        <v>0.931887882033275</v>
      </c>
    </row>
    <row r="54" customFormat="false" ht="15" hidden="false" customHeight="false" outlineLevel="0" collapsed="false">
      <c r="A54" s="62" t="n">
        <v>1.5</v>
      </c>
      <c r="B54" s="63" t="n">
        <f aca="false">NORMSDIST($A54+B$4)</f>
        <v>0.933192798731142</v>
      </c>
      <c r="C54" s="63" t="n">
        <f aca="false">NORMSDIST($A54+C$4)</f>
        <v>0.934478287911084</v>
      </c>
      <c r="D54" s="63" t="n">
        <f aca="false">NORMSDIST($A54+D$4)</f>
        <v>0.935744512181064</v>
      </c>
      <c r="E54" s="63" t="n">
        <f aca="false">NORMSDIST($A54+E$4)</f>
        <v>0.936991635536022</v>
      </c>
      <c r="F54" s="63" t="n">
        <f aca="false">NORMSDIST($A54+F$4)</f>
        <v>0.938219823288188</v>
      </c>
      <c r="G54" s="63" t="n">
        <f aca="false">NORMSDIST($A54+G$4)</f>
        <v>0.939429241997941</v>
      </c>
      <c r="H54" s="63" t="n">
        <f aca="false">NORMSDIST($A54+H$4)</f>
        <v>0.940620059405207</v>
      </c>
      <c r="I54" s="63" t="n">
        <f aca="false">NORMSDIST($A54+I$4)</f>
        <v>0.941792444361447</v>
      </c>
      <c r="J54" s="63" t="n">
        <f aca="false">NORMSDIST($A54+J$4)</f>
        <v>0.942946566762246</v>
      </c>
      <c r="K54" s="63" t="n">
        <f aca="false">NORMSDIST($A54+K$4)</f>
        <v>0.944082597480531</v>
      </c>
    </row>
    <row r="55" customFormat="false" ht="15" hidden="false" customHeight="false" outlineLevel="0" collapsed="false">
      <c r="A55" s="62" t="n">
        <v>1.6</v>
      </c>
      <c r="B55" s="63" t="n">
        <f aca="false">NORMSDIST($A55+B$4)</f>
        <v>0.945200708300442</v>
      </c>
      <c r="C55" s="63" t="n">
        <f aca="false">NORMSDIST($A55+C$4)</f>
        <v>0.94630107185188</v>
      </c>
      <c r="D55" s="63" t="n">
        <f aca="false">NORMSDIST($A55+D$4)</f>
        <v>0.947383861545748</v>
      </c>
      <c r="E55" s="63" t="n">
        <f aca="false">NORMSDIST($A55+E$4)</f>
        <v>0.948449251509911</v>
      </c>
      <c r="F55" s="63" t="n">
        <f aca="false">NORMSDIST($A55+F$4)</f>
        <v>0.949497416525896</v>
      </c>
      <c r="G55" s="63" t="n">
        <f aca="false">NORMSDIST($A55+G$4)</f>
        <v>0.950528531966352</v>
      </c>
      <c r="H55" s="63" t="n">
        <f aca="false">NORMSDIST($A55+H$4)</f>
        <v>0.951542773733277</v>
      </c>
      <c r="I55" s="63" t="n">
        <f aca="false">NORMSDIST($A55+I$4)</f>
        <v>0.952540318197053</v>
      </c>
      <c r="J55" s="63" t="n">
        <f aca="false">NORMSDIST($A55+J$4)</f>
        <v>0.95352134213628</v>
      </c>
      <c r="K55" s="63" t="n">
        <f aca="false">NORMSDIST($A55+K$4)</f>
        <v>0.95448602267845</v>
      </c>
    </row>
    <row r="56" customFormat="false" ht="15" hidden="false" customHeight="false" outlineLevel="0" collapsed="false">
      <c r="A56" s="62" t="n">
        <v>1.7</v>
      </c>
      <c r="B56" s="63" t="n">
        <f aca="false">NORMSDIST($A56+B$4)</f>
        <v>0.955434537241457</v>
      </c>
      <c r="C56" s="63" t="n">
        <f aca="false">NORMSDIST($A56+C$4)</f>
        <v>0.956367063475968</v>
      </c>
      <c r="D56" s="63" t="n">
        <f aca="false">NORMSDIST($A56+D$4)</f>
        <v>0.957283779208671</v>
      </c>
      <c r="E56" s="63" t="n">
        <f aca="false">NORMSDIST($A56+E$4)</f>
        <v>0.958184862386405</v>
      </c>
      <c r="F56" s="63" t="n">
        <f aca="false">NORMSDIST($A56+F$4)</f>
        <v>0.959070491021193</v>
      </c>
      <c r="G56" s="63" t="n">
        <f aca="false">NORMSDIST($A56+G$4)</f>
        <v>0.959940843136183</v>
      </c>
      <c r="H56" s="63" t="n">
        <f aca="false">NORMSDIST($A56+H$4)</f>
        <v>0.960796096712517</v>
      </c>
      <c r="I56" s="63" t="n">
        <f aca="false">NORMSDIST($A56+I$4)</f>
        <v>0.961636429637129</v>
      </c>
      <c r="J56" s="63" t="n">
        <f aca="false">NORMSDIST($A56+J$4)</f>
        <v>0.962462019651483</v>
      </c>
      <c r="K56" s="63" t="n">
        <f aca="false">NORMSDIST($A56+K$4)</f>
        <v>0.963273044301274</v>
      </c>
    </row>
    <row r="57" customFormat="false" ht="15" hidden="false" customHeight="false" outlineLevel="0" collapsed="false">
      <c r="A57" s="62" t="n">
        <v>1.8</v>
      </c>
      <c r="B57" s="63" t="n">
        <f aca="false">NORMSDIST($A57+B$4)</f>
        <v>0.964069680887074</v>
      </c>
      <c r="C57" s="63" t="n">
        <f aca="false">NORMSDIST($A57+C$4)</f>
        <v>0.964852106415961</v>
      </c>
      <c r="D57" s="63" t="n">
        <f aca="false">NORMSDIST($A57+D$4)</f>
        <v>0.96562049755411</v>
      </c>
      <c r="E57" s="63" t="n">
        <f aca="false">NORMSDIST($A57+E$4)</f>
        <v>0.966375030580372</v>
      </c>
      <c r="F57" s="63" t="n">
        <f aca="false">NORMSDIST($A57+F$4)</f>
        <v>0.967115881340836</v>
      </c>
      <c r="G57" s="63" t="n">
        <f aca="false">NORMSDIST($A57+G$4)</f>
        <v>0.967843225204386</v>
      </c>
      <c r="H57" s="63" t="n">
        <f aca="false">NORMSDIST($A57+H$4)</f>
        <v>0.968557237019247</v>
      </c>
      <c r="I57" s="63" t="n">
        <f aca="false">NORMSDIST($A57+I$4)</f>
        <v>0.969258091070534</v>
      </c>
      <c r="J57" s="63" t="n">
        <f aca="false">NORMSDIST($A57+J$4)</f>
        <v>0.9699459610388</v>
      </c>
      <c r="K57" s="63" t="n">
        <f aca="false">NORMSDIST($A57+K$4)</f>
        <v>0.970621019959591</v>
      </c>
    </row>
    <row r="58" customFormat="false" ht="15" hidden="false" customHeight="false" outlineLevel="0" collapsed="false">
      <c r="A58" s="62" t="n">
        <v>1.9</v>
      </c>
      <c r="B58" s="63" t="n">
        <f aca="false">NORMSDIST($A58+B$4)</f>
        <v>0.971283440183998</v>
      </c>
      <c r="C58" s="63" t="n">
        <f aca="false">NORMSDIST($A58+C$4)</f>
        <v>0.971933393340228</v>
      </c>
      <c r="D58" s="63" t="n">
        <f aca="false">NORMSDIST($A58+D$4)</f>
        <v>0.972571050296163</v>
      </c>
      <c r="E58" s="63" t="n">
        <f aca="false">NORMSDIST($A58+E$4)</f>
        <v>0.973196581122945</v>
      </c>
      <c r="F58" s="63" t="n">
        <f aca="false">NORMSDIST($A58+F$4)</f>
        <v>0.973810155059547</v>
      </c>
      <c r="G58" s="63" t="n">
        <f aca="false">NORMSDIST($A58+G$4)</f>
        <v>0.974411940478361</v>
      </c>
      <c r="H58" s="63" t="n">
        <f aca="false">NORMSDIST($A58+H$4)</f>
        <v>0.97500210485178</v>
      </c>
      <c r="I58" s="63" t="n">
        <f aca="false">NORMSDIST($A58+I$4)</f>
        <v>0.975580814719777</v>
      </c>
      <c r="J58" s="63" t="n">
        <f aca="false">NORMSDIST($A58+J$4)</f>
        <v>0.976148235658492</v>
      </c>
      <c r="K58" s="63" t="n">
        <f aca="false">NORMSDIST($A58+K$4)</f>
        <v>0.976704532249788</v>
      </c>
    </row>
    <row r="59" customFormat="false" ht="15" hidden="false" customHeight="false" outlineLevel="0" collapsed="false">
      <c r="A59" s="62" t="n">
        <v>2</v>
      </c>
      <c r="B59" s="63" t="n">
        <f aca="false">NORMSDIST($A59+B$4)</f>
        <v>0.977249868051821</v>
      </c>
      <c r="C59" s="63" t="n">
        <f aca="false">NORMSDIST($A59+C$4)</f>
        <v>0.977784405570569</v>
      </c>
      <c r="D59" s="63" t="n">
        <f aca="false">NORMSDIST($A59+D$4)</f>
        <v>0.978308306232353</v>
      </c>
      <c r="E59" s="63" t="n">
        <f aca="false">NORMSDIST($A59+E$4)</f>
        <v>0.978821730357328</v>
      </c>
      <c r="F59" s="63" t="n">
        <f aca="false">NORMSDIST($A59+F$4)</f>
        <v>0.97932483713393</v>
      </c>
      <c r="G59" s="63" t="n">
        <f aca="false">NORMSDIST($A59+G$4)</f>
        <v>0.979817784594296</v>
      </c>
      <c r="H59" s="63" t="n">
        <f aca="false">NORMSDIST($A59+H$4)</f>
        <v>0.980300729590623</v>
      </c>
      <c r="I59" s="63" t="n">
        <f aca="false">NORMSDIST($A59+I$4)</f>
        <v>0.980773827772483</v>
      </c>
      <c r="J59" s="63" t="n">
        <f aca="false">NORMSDIST($A59+J$4)</f>
        <v>0.981237233565062</v>
      </c>
      <c r="K59" s="63" t="n">
        <f aca="false">NORMSDIST($A59+K$4)</f>
        <v>0.981691100148341</v>
      </c>
    </row>
    <row r="60" customFormat="false" ht="15" hidden="false" customHeight="false" outlineLevel="0" collapsed="false">
      <c r="A60" s="62" t="n">
        <v>2.1</v>
      </c>
      <c r="B60" s="63" t="n">
        <f aca="false">NORMSDIST($A60+B$4)</f>
        <v>0.982135579437183</v>
      </c>
      <c r="C60" s="63" t="n">
        <f aca="false">NORMSDIST($A60+C$4)</f>
        <v>0.982570822062343</v>
      </c>
      <c r="D60" s="63" t="n">
        <f aca="false">NORMSDIST($A60+D$4)</f>
        <v>0.982996977352367</v>
      </c>
      <c r="E60" s="63" t="n">
        <f aca="false">NORMSDIST($A60+E$4)</f>
        <v>0.983414193316395</v>
      </c>
      <c r="F60" s="63" t="n">
        <f aca="false">NORMSDIST($A60+F$4)</f>
        <v>0.983822616627834</v>
      </c>
      <c r="G60" s="63" t="n">
        <f aca="false">NORMSDIST($A60+G$4)</f>
        <v>0.98422239260891</v>
      </c>
      <c r="H60" s="63" t="n">
        <f aca="false">NORMSDIST($A60+H$4)</f>
        <v>0.984613665216075</v>
      </c>
      <c r="I60" s="63" t="n">
        <f aca="false">NORMSDIST($A60+I$4)</f>
        <v>0.984996577026268</v>
      </c>
      <c r="J60" s="63" t="n">
        <f aca="false">NORMSDIST($A60+J$4)</f>
        <v>0.985371269224011</v>
      </c>
      <c r="K60" s="63" t="n">
        <f aca="false">NORMSDIST($A60+K$4)</f>
        <v>0.985737881589331</v>
      </c>
    </row>
    <row r="61" customFormat="false" ht="15" hidden="false" customHeight="false" outlineLevel="0" collapsed="false">
      <c r="A61" s="62" t="n">
        <v>2.2</v>
      </c>
      <c r="B61" s="63" t="n">
        <f aca="false">NORMSDIST($A61+B$4)</f>
        <v>0.986096552486501</v>
      </c>
      <c r="C61" s="63" t="n">
        <f aca="false">NORMSDIST($A61+C$4)</f>
        <v>0.98644741885358</v>
      </c>
      <c r="D61" s="63" t="n">
        <f aca="false">NORMSDIST($A61+D$4)</f>
        <v>0.986790616192744</v>
      </c>
      <c r="E61" s="63" t="n">
        <f aca="false">NORMSDIST($A61+E$4)</f>
        <v>0.987126278561398</v>
      </c>
      <c r="F61" s="63" t="n">
        <f aca="false">NORMSDIST($A61+F$4)</f>
        <v>0.987454538564053</v>
      </c>
      <c r="G61" s="63" t="n">
        <f aca="false">NORMSDIST($A61+G$4)</f>
        <v>0.987775527344955</v>
      </c>
      <c r="H61" s="63" t="n">
        <f aca="false">NORMSDIST($A61+H$4)</f>
        <v>0.988089374581453</v>
      </c>
      <c r="I61" s="63" t="n">
        <f aca="false">NORMSDIST($A61+I$4)</f>
        <v>0.988396208478097</v>
      </c>
      <c r="J61" s="63" t="n">
        <f aca="false">NORMSDIST($A61+J$4)</f>
        <v>0.988696155761447</v>
      </c>
      <c r="K61" s="63" t="n">
        <f aca="false">NORMSDIST($A61+K$4)</f>
        <v>0.988989341675589</v>
      </c>
    </row>
    <row r="62" customFormat="false" ht="15" hidden="false" customHeight="false" outlineLevel="0" collapsed="false">
      <c r="A62" s="62" t="n">
        <v>2.3</v>
      </c>
      <c r="B62" s="63" t="n">
        <f aca="false">NORMSDIST($A62+B$4)</f>
        <v>0.989275889978324</v>
      </c>
      <c r="C62" s="63" t="n">
        <f aca="false">NORMSDIST($A62+C$4)</f>
        <v>0.989555922938049</v>
      </c>
      <c r="D62" s="63" t="n">
        <f aca="false">NORMSDIST($A62+D$4)</f>
        <v>0.98982956133128</v>
      </c>
      <c r="E62" s="63" t="n">
        <f aca="false">NORMSDIST($A62+E$4)</f>
        <v>0.990096924440836</v>
      </c>
      <c r="F62" s="63" t="n">
        <f aca="false">NORMSDIST($A62+F$4)</f>
        <v>0.990358130054642</v>
      </c>
      <c r="G62" s="63" t="n">
        <f aca="false">NORMSDIST($A62+G$4)</f>
        <v>0.990613294465161</v>
      </c>
      <c r="H62" s="63" t="n">
        <f aca="false">NORMSDIST($A62+H$4)</f>
        <v>0.990862532469427</v>
      </c>
      <c r="I62" s="63" t="n">
        <f aca="false">NORMSDIST($A62+I$4)</f>
        <v>0.991105957369663</v>
      </c>
      <c r="J62" s="63" t="n">
        <f aca="false">NORMSDIST($A62+J$4)</f>
        <v>0.991343680974483</v>
      </c>
      <c r="K62" s="63" t="n">
        <f aca="false">NORMSDIST($A62+K$4)</f>
        <v>0.991575813600654</v>
      </c>
    </row>
    <row r="63" customFormat="false" ht="15" hidden="false" customHeight="false" outlineLevel="0" collapsed="false">
      <c r="A63" s="62" t="n">
        <v>2.4</v>
      </c>
      <c r="B63" s="63" t="n">
        <f aca="false">NORMSDIST($A63+B$4)</f>
        <v>0.991802464075404</v>
      </c>
      <c r="C63" s="63" t="n">
        <f aca="false">NORMSDIST($A63+C$4)</f>
        <v>0.992023739739266</v>
      </c>
      <c r="D63" s="63" t="n">
        <f aca="false">NORMSDIST($A63+D$4)</f>
        <v>0.992239746449446</v>
      </c>
      <c r="E63" s="63" t="n">
        <f aca="false">NORMSDIST($A63+E$4)</f>
        <v>0.992450588583691</v>
      </c>
      <c r="F63" s="63" t="n">
        <f aca="false">NORMSDIST($A63+F$4)</f>
        <v>0.992656369044652</v>
      </c>
      <c r="G63" s="63" t="n">
        <f aca="false">NORMSDIST($A63+G$4)</f>
        <v>0.992857189264729</v>
      </c>
      <c r="H63" s="63" t="n">
        <f aca="false">NORMSDIST($A63+H$4)</f>
        <v>0.993053149211376</v>
      </c>
      <c r="I63" s="63" t="n">
        <f aca="false">NORMSDIST($A63+I$4)</f>
        <v>0.993244347392859</v>
      </c>
      <c r="J63" s="63" t="n">
        <f aca="false">NORMSDIST($A63+J$4)</f>
        <v>0.993430880864453</v>
      </c>
      <c r="K63" s="63" t="n">
        <f aca="false">NORMSDIST($A63+K$4)</f>
        <v>0.993612845235057</v>
      </c>
    </row>
    <row r="64" customFormat="false" ht="15" hidden="false" customHeight="false" outlineLevel="0" collapsed="false">
      <c r="A64" s="62" t="n">
        <v>2.5</v>
      </c>
      <c r="B64" s="63" t="n">
        <f aca="false">NORMSDIST($A64+B$4)</f>
        <v>0.993790334674224</v>
      </c>
      <c r="C64" s="63" t="n">
        <f aca="false">NORMSDIST($A64+C$4)</f>
        <v>0.993963441919587</v>
      </c>
      <c r="D64" s="63" t="n">
        <f aca="false">NORMSDIST($A64+D$4)</f>
        <v>0.994132258284667</v>
      </c>
      <c r="E64" s="63" t="n">
        <f aca="false">NORMSDIST($A64+E$4)</f>
        <v>0.994296873667049</v>
      </c>
      <c r="F64" s="63" t="n">
        <f aca="false">NORMSDIST($A64+F$4)</f>
        <v>0.994457376556917</v>
      </c>
      <c r="G64" s="63" t="n">
        <f aca="false">NORMSDIST($A64+G$4)</f>
        <v>0.994613854045933</v>
      </c>
      <c r="H64" s="63" t="n">
        <f aca="false">NORMSDIST($A64+H$4)</f>
        <v>0.994766391836444</v>
      </c>
      <c r="I64" s="63" t="n">
        <f aca="false">NORMSDIST($A64+I$4)</f>
        <v>0.994915074251009</v>
      </c>
      <c r="J64" s="63" t="n">
        <f aca="false">NORMSDIST($A64+J$4)</f>
        <v>0.995059984242229</v>
      </c>
      <c r="K64" s="63" t="n">
        <f aca="false">NORMSDIST($A64+K$4)</f>
        <v>0.995201203402874</v>
      </c>
    </row>
    <row r="65" customFormat="false" ht="15" hidden="false" customHeight="false" outlineLevel="0" collapsed="false">
      <c r="A65" s="62" t="n">
        <v>2.6</v>
      </c>
      <c r="B65" s="63" t="n">
        <f aca="false">NORMSDIST($A65+B$4)</f>
        <v>0.995338811976281</v>
      </c>
      <c r="C65" s="63" t="n">
        <f aca="false">NORMSDIST($A65+C$4)</f>
        <v>0.995472888867033</v>
      </c>
      <c r="D65" s="63" t="n">
        <f aca="false">NORMSDIST($A65+D$4)</f>
        <v>0.995603511651879</v>
      </c>
      <c r="E65" s="63" t="n">
        <f aca="false">NORMSDIST($A65+E$4)</f>
        <v>0.995730756590911</v>
      </c>
      <c r="F65" s="63" t="n">
        <f aca="false">NORMSDIST($A65+F$4)</f>
        <v>0.995854698638964</v>
      </c>
      <c r="G65" s="63" t="n">
        <f aca="false">NORMSDIST($A65+G$4)</f>
        <v>0.995975411457242</v>
      </c>
      <c r="H65" s="63" t="n">
        <f aca="false">NORMSDIST($A65+H$4)</f>
        <v>0.996092967425147</v>
      </c>
      <c r="I65" s="63" t="n">
        <f aca="false">NORMSDIST($A65+I$4)</f>
        <v>0.996207437652315</v>
      </c>
      <c r="J65" s="63" t="n">
        <f aca="false">NORMSDIST($A65+J$4)</f>
        <v>0.996318891990825</v>
      </c>
      <c r="K65" s="63" t="n">
        <f aca="false">NORMSDIST($A65+K$4)</f>
        <v>0.9964273990476</v>
      </c>
    </row>
    <row r="66" customFormat="false" ht="15" hidden="false" customHeight="false" outlineLevel="0" collapsed="false">
      <c r="A66" s="62" t="n">
        <v>2.7</v>
      </c>
      <c r="B66" s="63" t="n">
        <f aca="false">NORMSDIST($A66+B$4)</f>
        <v>0.996533026196959</v>
      </c>
      <c r="C66" s="63" t="n">
        <f aca="false">NORMSDIST($A66+C$4)</f>
        <v>0.996635839593331</v>
      </c>
      <c r="D66" s="63" t="n">
        <f aca="false">NORMSDIST($A66+D$4)</f>
        <v>0.996735904184109</v>
      </c>
      <c r="E66" s="63" t="n">
        <f aca="false">NORMSDIST($A66+E$4)</f>
        <v>0.996833283722642</v>
      </c>
      <c r="F66" s="63" t="n">
        <f aca="false">NORMSDIST($A66+F$4)</f>
        <v>0.99692804078135</v>
      </c>
      <c r="G66" s="63" t="n">
        <f aca="false">NORMSDIST($A66+G$4)</f>
        <v>0.997020236764945</v>
      </c>
      <c r="H66" s="63" t="n">
        <f aca="false">NORMSDIST($A66+H$4)</f>
        <v>0.997109931923774</v>
      </c>
      <c r="I66" s="63" t="n">
        <f aca="false">NORMSDIST($A66+I$4)</f>
        <v>0.997197185367235</v>
      </c>
      <c r="J66" s="63" t="n">
        <f aca="false">NORMSDIST($A66+J$4)</f>
        <v>0.997282055077299</v>
      </c>
      <c r="K66" s="63" t="n">
        <f aca="false">NORMSDIST($A66+K$4)</f>
        <v>0.997364597922095</v>
      </c>
    </row>
    <row r="67" customFormat="false" ht="15" hidden="false" customHeight="false" outlineLevel="0" collapsed="false">
      <c r="A67" s="62" t="n">
        <v>2.8</v>
      </c>
      <c r="B67" s="63" t="n">
        <f aca="false">NORMSDIST($A67+B$4)</f>
        <v>0.997444869669572</v>
      </c>
      <c r="C67" s="63" t="n">
        <f aca="false">NORMSDIST($A67+C$4)</f>
        <v>0.997522925001214</v>
      </c>
      <c r="D67" s="63" t="n">
        <f aca="false">NORMSDIST($A67+D$4)</f>
        <v>0.997598817525811</v>
      </c>
      <c r="E67" s="63" t="n">
        <f aca="false">NORMSDIST($A67+E$4)</f>
        <v>0.997672599793269</v>
      </c>
      <c r="F67" s="63" t="n">
        <f aca="false">NORMSDIST($A67+F$4)</f>
        <v>0.997744323308458</v>
      </c>
      <c r="G67" s="63" t="n">
        <f aca="false">NORMSDIST($A67+G$4)</f>
        <v>0.997814038545087</v>
      </c>
      <c r="H67" s="63" t="n">
        <f aca="false">NORMSDIST($A67+H$4)</f>
        <v>0.997881794959595</v>
      </c>
      <c r="I67" s="63" t="n">
        <f aca="false">NORMSDIST($A67+I$4)</f>
        <v>0.99794764100506</v>
      </c>
      <c r="J67" s="63" t="n">
        <f aca="false">NORMSDIST($A67+J$4)</f>
        <v>0.998011624145106</v>
      </c>
      <c r="K67" s="63" t="n">
        <f aca="false">NORMSDIST($A67+K$4)</f>
        <v>0.998073790867812</v>
      </c>
    </row>
    <row r="68" customFormat="false" ht="15" hidden="false" customHeight="false" outlineLevel="0" collapsed="false">
      <c r="A68" s="62" t="n">
        <v>2.9</v>
      </c>
      <c r="B68" s="63" t="n">
        <f aca="false">NORMSDIST($A68+B$4)</f>
        <v>0.998134186699616</v>
      </c>
      <c r="C68" s="63" t="n">
        <f aca="false">NORMSDIST($A68+C$4)</f>
        <v>0.998192856219194</v>
      </c>
      <c r="D68" s="63" t="n">
        <f aca="false">NORMSDIST($A68+D$4)</f>
        <v>0.998249843071324</v>
      </c>
      <c r="E68" s="63" t="n">
        <f aca="false">NORMSDIST($A68+E$4)</f>
        <v>0.998305189980723</v>
      </c>
      <c r="F68" s="63" t="n">
        <f aca="false">NORMSDIST($A68+F$4)</f>
        <v>0.998358938765843</v>
      </c>
      <c r="G68" s="63" t="n">
        <f aca="false">NORMSDIST($A68+G$4)</f>
        <v>0.998411130352635</v>
      </c>
      <c r="H68" s="63" t="n">
        <f aca="false">NORMSDIST($A68+H$4)</f>
        <v>0.998461804788262</v>
      </c>
      <c r="I68" s="63" t="n">
        <f aca="false">NORMSDIST($A68+I$4)</f>
        <v>0.998511001254763</v>
      </c>
      <c r="J68" s="63" t="n">
        <f aca="false">NORMSDIST($A68+J$4)</f>
        <v>0.99855875808266</v>
      </c>
      <c r="K68" s="63" t="n">
        <f aca="false">NORMSDIST($A68+K$4)</f>
        <v>0.998605112764508</v>
      </c>
    </row>
    <row r="69" customFormat="false" ht="15" hidden="false" customHeight="false" outlineLevel="0" collapsed="false">
      <c r="A69" s="62" t="n">
        <v>3</v>
      </c>
      <c r="B69" s="63" t="n">
        <f aca="false">NORMSDIST($A69+B$4)</f>
        <v>0.99865010196837</v>
      </c>
      <c r="C69" s="63" t="n">
        <f aca="false">NORMSDIST($A69+C$4)</f>
        <v>0.998693761551231</v>
      </c>
      <c r="D69" s="63" t="n">
        <f aca="false">NORMSDIST($A69+D$4)</f>
        <v>0.998736126572328</v>
      </c>
      <c r="E69" s="63" t="n">
        <f aca="false">NORMSDIST($A69+E$4)</f>
        <v>0.998777231306408</v>
      </c>
      <c r="F69" s="63" t="n">
        <f aca="false">NORMSDIST($A69+F$4)</f>
        <v>0.998817109256896</v>
      </c>
      <c r="G69" s="63" t="n">
        <f aca="false">NORMSDIST($A69+G$4)</f>
        <v>0.998855793168977</v>
      </c>
      <c r="H69" s="63" t="n">
        <f aca="false">NORMSDIST($A69+H$4)</f>
        <v>0.998893315042591</v>
      </c>
      <c r="I69" s="63" t="n">
        <f aca="false">NORMSDIST($A69+I$4)</f>
        <v>0.998929706145321</v>
      </c>
      <c r="J69" s="63" t="n">
        <f aca="false">NORMSDIST($A69+J$4)</f>
        <v>0.998964997025197</v>
      </c>
      <c r="K69" s="63" t="n">
        <f aca="false">NORMSDIST($A69+K$4)</f>
        <v>0.998999217523386</v>
      </c>
    </row>
    <row r="70" customFormat="false" ht="15" hidden="false" customHeight="false" outlineLevel="0" collapsed="false">
      <c r="A70" s="62" t="n">
        <v>3.1</v>
      </c>
      <c r="B70" s="63" t="n">
        <f aca="false">NORMSDIST($A70+B$4)</f>
        <v>0.999032396786782</v>
      </c>
      <c r="C70" s="63" t="n">
        <f aca="false">NORMSDIST($A70+C$4)</f>
        <v>0.999064563280486</v>
      </c>
      <c r="D70" s="63" t="n">
        <f aca="false">NORMSDIST($A70+D$4)</f>
        <v>0.999095744800178</v>
      </c>
      <c r="E70" s="63" t="n">
        <f aca="false">NORMSDIST($A70+E$4)</f>
        <v>0.999125968484368</v>
      </c>
      <c r="F70" s="63" t="n">
        <f aca="false">NORMSDIST($A70+F$4)</f>
        <v>0.999155260826541</v>
      </c>
      <c r="G70" s="63" t="n">
        <f aca="false">NORMSDIST($A70+G$4)</f>
        <v>0.999183647687171</v>
      </c>
      <c r="H70" s="63" t="n">
        <f aca="false">NORMSDIST($A70+H$4)</f>
        <v>0.999211154305625</v>
      </c>
      <c r="I70" s="63" t="n">
        <f aca="false">NORMSDIST($A70+I$4)</f>
        <v>0.999237805311933</v>
      </c>
      <c r="J70" s="63" t="n">
        <f aca="false">NORMSDIST($A70+J$4)</f>
        <v>0.999263624738446</v>
      </c>
      <c r="K70" s="63" t="n">
        <f aca="false">NORMSDIST($A70+K$4)</f>
        <v>0.999288636031355</v>
      </c>
    </row>
    <row r="71" customFormat="false" ht="15" hidden="false" customHeight="false" outlineLevel="0" collapsed="false">
      <c r="A71" s="62" t="n">
        <v>3.2</v>
      </c>
      <c r="B71" s="63" t="n">
        <f aca="false">NORMSDIST($A71+B$4)</f>
        <v>0.999312862062084</v>
      </c>
      <c r="C71" s="63" t="n">
        <f aca="false">NORMSDIST($A71+C$4)</f>
        <v>0.99933632513856</v>
      </c>
      <c r="D71" s="63" t="n">
        <f aca="false">NORMSDIST($A71+D$4)</f>
        <v>0.99935904701634</v>
      </c>
      <c r="E71" s="63" t="n">
        <f aca="false">NORMSDIST($A71+E$4)</f>
        <v>0.999381048909613</v>
      </c>
      <c r="F71" s="63" t="n">
        <f aca="false">NORMSDIST($A71+F$4)</f>
        <v>0.999402351502066</v>
      </c>
      <c r="G71" s="63" t="n">
        <f aca="false">NORMSDIST($A71+G$4)</f>
        <v>0.999422974957609</v>
      </c>
      <c r="H71" s="63" t="n">
        <f aca="false">NORMSDIST($A71+H$4)</f>
        <v>0.999442938930975</v>
      </c>
      <c r="I71" s="63" t="n">
        <f aca="false">NORMSDIST($A71+I$4)</f>
        <v>0.99946226257817</v>
      </c>
      <c r="J71" s="63" t="n">
        <f aca="false">NORMSDIST($A71+J$4)</f>
        <v>0.999480964566793</v>
      </c>
      <c r="K71" s="63" t="n">
        <f aca="false">NORMSDIST($A71+K$4)</f>
        <v>0.999499063086214</v>
      </c>
    </row>
    <row r="72" customFormat="false" ht="15" hidden="false" customHeight="false" outlineLevel="0" collapsed="false">
      <c r="A72" s="62" t="n">
        <v>3.3</v>
      </c>
      <c r="B72" s="63" t="n">
        <f aca="false">NORMSDIST($A72+B$4)</f>
        <v>0.999516575857616</v>
      </c>
      <c r="C72" s="63" t="n">
        <f aca="false">NORMSDIST($A72+C$4)</f>
        <v>0.999533520143892</v>
      </c>
      <c r="D72" s="63" t="n">
        <f aca="false">NORMSDIST($A72+D$4)</f>
        <v>0.999549912759408</v>
      </c>
      <c r="E72" s="63" t="n">
        <f aca="false">NORMSDIST($A72+E$4)</f>
        <v>0.999565770079618</v>
      </c>
      <c r="F72" s="63" t="n">
        <f aca="false">NORMSDIST($A72+F$4)</f>
        <v>0.99958110805055</v>
      </c>
      <c r="G72" s="63" t="n">
        <f aca="false">NORMSDIST($A72+G$4)</f>
        <v>0.999595942198136</v>
      </c>
      <c r="H72" s="63" t="n">
        <f aca="false">NORMSDIST($A72+H$4)</f>
        <v>0.999610287637418</v>
      </c>
      <c r="I72" s="63" t="n">
        <f aca="false">NORMSDIST($A72+I$4)</f>
        <v>0.9996241590816</v>
      </c>
      <c r="J72" s="63" t="n">
        <f aca="false">NORMSDIST($A72+J$4)</f>
        <v>0.999637570850967</v>
      </c>
      <c r="K72" s="63" t="n">
        <f aca="false">NORMSDIST($A72+K$4)</f>
        <v>0.999650536881662</v>
      </c>
    </row>
    <row r="73" customFormat="false" ht="15" hidden="false" customHeight="false" outlineLevel="0" collapsed="false">
      <c r="A73" s="62" t="n">
        <v>3.4</v>
      </c>
      <c r="B73" s="63" t="n">
        <f aca="false">NORMSDIST($A73+B$4)</f>
        <v>0.999663070734323</v>
      </c>
      <c r="C73" s="63" t="n">
        <f aca="false">NORMSDIST($A73+C$4)</f>
        <v>0.999675185602581</v>
      </c>
      <c r="D73" s="63" t="n">
        <f aca="false">NORMSDIST($A73+D$4)</f>
        <v>0.999686894321419</v>
      </c>
      <c r="E73" s="63" t="n">
        <f aca="false">NORMSDIST($A73+E$4)</f>
        <v>0.999698209375391</v>
      </c>
      <c r="F73" s="63" t="n">
        <f aca="false">NORMSDIST($A73+F$4)</f>
        <v>0.999709142906709</v>
      </c>
      <c r="G73" s="63" t="n">
        <f aca="false">NORMSDIST($A73+G$4)</f>
        <v>0.999719706723184</v>
      </c>
      <c r="H73" s="63" t="n">
        <f aca="false">NORMSDIST($A73+H$4)</f>
        <v>0.999729912306037</v>
      </c>
      <c r="I73" s="63" t="n">
        <f aca="false">NORMSDIST($A73+I$4)</f>
        <v>0.999739770817573</v>
      </c>
      <c r="J73" s="63" t="n">
        <f aca="false">NORMSDIST($A73+J$4)</f>
        <v>0.99974929310872</v>
      </c>
      <c r="K73" s="63" t="n">
        <f aca="false">NORMSDIST($A73+K$4)</f>
        <v>0.999758489726432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2026-09-17T01:18:20Z</dcterms:created>
  <dc:creator>Prepared for the B6100 midterm (Lectures 1-5)</dc:creator>
  <dc:description/>
  <dc:language>en-US</dc:language>
  <cp:lastModifiedBy/>
  <dcterms:modified xsi:type="dcterms:W3CDTF">2026-09-17T01:18:21Z</dcterms:modified>
  <cp:revision>1</cp:revision>
  <dc:subject/>
  <dc:title>B6100 Managerial Statistics - Midterm Calculator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